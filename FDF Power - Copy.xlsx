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old data back\old\psn reddy desktop\power bills\2026\June\Summery\New folder\"/>
    </mc:Choice>
  </mc:AlternateContent>
  <xr:revisionPtr revIDLastSave="0" documentId="13_ncr:1_{12E019C0-EE68-492E-86F0-A443C2F574DF}" xr6:coauthVersionLast="47" xr6:coauthVersionMax="47" xr10:uidLastSave="{00000000-0000-0000-0000-000000000000}"/>
  <bookViews>
    <workbookView xWindow="-110" yWindow="-110" windowWidth="19420" windowHeight="10300" tabRatio="213" firstSheet="5" activeTab="5" xr2:uid="{00000000-000D-0000-FFFF-FFFF00000000}"/>
  </bookViews>
  <sheets>
    <sheet name="Sheet1" sheetId="1" state="hidden" r:id="rId1"/>
    <sheet name="U-XV" sheetId="2" r:id="rId2"/>
    <sheet name="HCL-iV" sheetId="3" r:id="rId3"/>
    <sheet name="Unit-VII" sheetId="4" r:id="rId4"/>
    <sheet name="Unit XII" sheetId="5" r:id="rId5"/>
    <sheet name="Unit-III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6" l="1"/>
  <c r="Q28" i="6" s="1"/>
  <c r="O28" i="6"/>
  <c r="P27" i="6"/>
  <c r="Q27" i="6" s="1"/>
  <c r="O27" i="6"/>
  <c r="P26" i="6"/>
  <c r="Q26" i="6" s="1"/>
  <c r="O26" i="6"/>
  <c r="P25" i="6"/>
  <c r="Q25" i="6" s="1"/>
  <c r="O25" i="6"/>
  <c r="P24" i="6"/>
  <c r="Q24" i="6" s="1"/>
  <c r="O24" i="6"/>
  <c r="P23" i="6"/>
  <c r="Q23" i="6" s="1"/>
  <c r="O23" i="6"/>
  <c r="P22" i="6"/>
  <c r="Q22" i="6" s="1"/>
  <c r="O22" i="6"/>
  <c r="P21" i="6"/>
  <c r="Q21" i="6" s="1"/>
  <c r="O21" i="6"/>
  <c r="P20" i="6"/>
  <c r="Q20" i="6" s="1"/>
  <c r="O20" i="6"/>
  <c r="P19" i="6"/>
  <c r="Q19" i="6" s="1"/>
  <c r="O19" i="6"/>
  <c r="P18" i="6"/>
  <c r="Q18" i="6" s="1"/>
  <c r="O18" i="6"/>
  <c r="P17" i="6"/>
  <c r="Q17" i="6" s="1"/>
  <c r="O17" i="6"/>
  <c r="P16" i="6"/>
  <c r="Q16" i="6" s="1"/>
  <c r="O16" i="6"/>
  <c r="P15" i="6"/>
  <c r="Q15" i="6" s="1"/>
  <c r="O15" i="6"/>
  <c r="P14" i="6"/>
  <c r="Q14" i="6" s="1"/>
  <c r="O14" i="6"/>
  <c r="P13" i="6"/>
  <c r="Q13" i="6" s="1"/>
  <c r="O13" i="6"/>
  <c r="P12" i="6"/>
  <c r="Q12" i="6" s="1"/>
  <c r="O12" i="6"/>
  <c r="P11" i="6"/>
  <c r="Q11" i="6" s="1"/>
  <c r="O11" i="6"/>
  <c r="P10" i="6"/>
  <c r="Q10" i="6" s="1"/>
  <c r="O10" i="6"/>
  <c r="P9" i="6"/>
  <c r="Q9" i="6" s="1"/>
  <c r="O9" i="6"/>
  <c r="P8" i="6"/>
  <c r="Q8" i="6" s="1"/>
  <c r="O8" i="6"/>
  <c r="P7" i="6"/>
  <c r="Q7" i="6" s="1"/>
  <c r="O7" i="6"/>
  <c r="P6" i="6"/>
  <c r="Q6" i="6" s="1"/>
  <c r="O6" i="6"/>
  <c r="P5" i="6"/>
  <c r="Q5" i="6" s="1"/>
  <c r="O5" i="6"/>
  <c r="P4" i="6"/>
  <c r="Q4" i="6" s="1"/>
  <c r="O4" i="6"/>
  <c r="P3" i="6"/>
  <c r="Q3" i="6" s="1"/>
  <c r="O3" i="6"/>
  <c r="P2" i="6"/>
  <c r="Q2" i="6" s="1"/>
  <c r="O2" i="6"/>
  <c r="O29" i="5"/>
  <c r="P29" i="5" s="1"/>
  <c r="N29" i="5"/>
  <c r="O28" i="5"/>
  <c r="P28" i="5" s="1"/>
  <c r="N28" i="5"/>
  <c r="O27" i="5"/>
  <c r="P27" i="5" s="1"/>
  <c r="N27" i="5"/>
  <c r="O26" i="5"/>
  <c r="P26" i="5" s="1"/>
  <c r="N26" i="5"/>
  <c r="O25" i="5"/>
  <c r="P25" i="5" s="1"/>
  <c r="N25" i="5"/>
  <c r="O24" i="5"/>
  <c r="P24" i="5" s="1"/>
  <c r="N24" i="5"/>
  <c r="O23" i="5"/>
  <c r="P23" i="5" s="1"/>
  <c r="N23" i="5"/>
  <c r="O22" i="5"/>
  <c r="P22" i="5" s="1"/>
  <c r="N22" i="5"/>
  <c r="O21" i="5"/>
  <c r="P21" i="5" s="1"/>
  <c r="N21" i="5"/>
  <c r="O20" i="5"/>
  <c r="P20" i="5" s="1"/>
  <c r="N20" i="5"/>
  <c r="O19" i="5"/>
  <c r="P19" i="5" s="1"/>
  <c r="N19" i="5"/>
  <c r="O18" i="5"/>
  <c r="P18" i="5" s="1"/>
  <c r="N18" i="5"/>
  <c r="O17" i="5"/>
  <c r="P17" i="5" s="1"/>
  <c r="N17" i="5"/>
  <c r="O16" i="5"/>
  <c r="P16" i="5" s="1"/>
  <c r="N16" i="5"/>
  <c r="O15" i="5"/>
  <c r="P15" i="5" s="1"/>
  <c r="N15" i="5"/>
  <c r="O14" i="5"/>
  <c r="P14" i="5" s="1"/>
  <c r="N14" i="5"/>
  <c r="O13" i="5"/>
  <c r="P13" i="5" s="1"/>
  <c r="N13" i="5"/>
  <c r="O12" i="5"/>
  <c r="P12" i="5" s="1"/>
  <c r="N12" i="5"/>
  <c r="O11" i="5"/>
  <c r="P11" i="5" s="1"/>
  <c r="N11" i="5"/>
  <c r="O10" i="5"/>
  <c r="P10" i="5" s="1"/>
  <c r="N10" i="5"/>
  <c r="O9" i="5"/>
  <c r="P9" i="5" s="1"/>
  <c r="N9" i="5"/>
  <c r="O8" i="5"/>
  <c r="P8" i="5" s="1"/>
  <c r="N8" i="5"/>
  <c r="O7" i="5"/>
  <c r="P7" i="5" s="1"/>
  <c r="N7" i="5"/>
  <c r="O6" i="5"/>
  <c r="P6" i="5" s="1"/>
  <c r="N6" i="5"/>
  <c r="O5" i="5"/>
  <c r="P5" i="5" s="1"/>
  <c r="N5" i="5"/>
  <c r="O4" i="5"/>
  <c r="P4" i="5" s="1"/>
  <c r="N4" i="5"/>
  <c r="O3" i="5"/>
  <c r="P3" i="5" s="1"/>
  <c r="N3" i="5"/>
  <c r="W25" i="2"/>
  <c r="V3" i="2"/>
  <c r="W3" i="2" s="1"/>
  <c r="V4" i="2"/>
  <c r="W4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2" i="2"/>
  <c r="W22" i="2" s="1"/>
  <c r="V23" i="2"/>
  <c r="W23" i="2" s="1"/>
  <c r="V24" i="2"/>
  <c r="W24" i="2" s="1"/>
  <c r="V26" i="2"/>
  <c r="W26" i="2" s="1"/>
  <c r="V27" i="2"/>
  <c r="W27" i="2" s="1"/>
  <c r="V28" i="2"/>
  <c r="W28" i="2" s="1"/>
  <c r="U28" i="4"/>
  <c r="V28" i="4" s="1"/>
  <c r="T28" i="4"/>
  <c r="E28" i="4"/>
  <c r="U27" i="4"/>
  <c r="V27" i="4" s="1"/>
  <c r="T27" i="4"/>
  <c r="E27" i="4"/>
  <c r="U26" i="4"/>
  <c r="V26" i="4" s="1"/>
  <c r="T26" i="4"/>
  <c r="E26" i="4"/>
  <c r="U25" i="4"/>
  <c r="V25" i="4" s="1"/>
  <c r="T25" i="4"/>
  <c r="E25" i="4"/>
  <c r="U24" i="4"/>
  <c r="V24" i="4" s="1"/>
  <c r="T24" i="4"/>
  <c r="E24" i="4"/>
  <c r="U23" i="4"/>
  <c r="V23" i="4" s="1"/>
  <c r="T23" i="4"/>
  <c r="E23" i="4"/>
  <c r="U22" i="4"/>
  <c r="V22" i="4" s="1"/>
  <c r="T22" i="4"/>
  <c r="E22" i="4"/>
  <c r="U21" i="4"/>
  <c r="V21" i="4" s="1"/>
  <c r="T21" i="4"/>
  <c r="E21" i="4"/>
  <c r="U20" i="4"/>
  <c r="V20" i="4" s="1"/>
  <c r="T20" i="4"/>
  <c r="J20" i="4"/>
  <c r="E20" i="4"/>
  <c r="U19" i="4"/>
  <c r="V19" i="4" s="1"/>
  <c r="T19" i="4"/>
  <c r="J19" i="4"/>
  <c r="E19" i="4"/>
  <c r="U18" i="4"/>
  <c r="V18" i="4" s="1"/>
  <c r="N18" i="4"/>
  <c r="T18" i="4" s="1"/>
  <c r="J18" i="4"/>
  <c r="E18" i="4"/>
  <c r="U17" i="4"/>
  <c r="V17" i="4" s="1"/>
  <c r="T17" i="4"/>
  <c r="J17" i="4"/>
  <c r="E17" i="4"/>
  <c r="U16" i="4"/>
  <c r="V16" i="4" s="1"/>
  <c r="T16" i="4"/>
  <c r="J16" i="4"/>
  <c r="H16" i="4"/>
  <c r="E16" i="4"/>
  <c r="U15" i="4"/>
  <c r="V15" i="4" s="1"/>
  <c r="T15" i="4"/>
  <c r="J15" i="4"/>
  <c r="E15" i="4"/>
  <c r="U14" i="4"/>
  <c r="V14" i="4" s="1"/>
  <c r="T14" i="4"/>
  <c r="J14" i="4"/>
  <c r="E14" i="4"/>
  <c r="U13" i="4"/>
  <c r="V13" i="4" s="1"/>
  <c r="T13" i="4"/>
  <c r="J13" i="4"/>
  <c r="E13" i="4"/>
  <c r="U12" i="4"/>
  <c r="V12" i="4" s="1"/>
  <c r="T12" i="4"/>
  <c r="J12" i="4"/>
  <c r="E12" i="4"/>
  <c r="V11" i="4"/>
  <c r="U11" i="4"/>
  <c r="T11" i="4"/>
  <c r="J11" i="4"/>
  <c r="E11" i="4"/>
  <c r="U10" i="4"/>
  <c r="V10" i="4" s="1"/>
  <c r="T10" i="4"/>
  <c r="E10" i="4"/>
  <c r="U9" i="4"/>
  <c r="V9" i="4" s="1"/>
  <c r="T9" i="4"/>
  <c r="E9" i="4"/>
  <c r="U8" i="4"/>
  <c r="V8" i="4" s="1"/>
  <c r="T8" i="4"/>
  <c r="E8" i="4"/>
  <c r="U7" i="4"/>
  <c r="V7" i="4" s="1"/>
  <c r="T7" i="4"/>
  <c r="E7" i="4"/>
  <c r="U6" i="4"/>
  <c r="V6" i="4" s="1"/>
  <c r="T6" i="4"/>
  <c r="E6" i="4"/>
  <c r="U5" i="4"/>
  <c r="V5" i="4" s="1"/>
  <c r="T5" i="4"/>
  <c r="E5" i="4"/>
  <c r="U4" i="4"/>
  <c r="V4" i="4" s="1"/>
  <c r="T4" i="4"/>
  <c r="E4" i="4"/>
  <c r="V3" i="4"/>
  <c r="U3" i="4"/>
  <c r="T3" i="4"/>
  <c r="E3" i="4"/>
  <c r="U2" i="4"/>
  <c r="V2" i="4" s="1"/>
  <c r="T2" i="4"/>
  <c r="E2" i="4"/>
  <c r="F30" i="3"/>
  <c r="U30" i="3"/>
  <c r="V30" i="3"/>
  <c r="W30" i="3"/>
  <c r="X30" i="3" s="1"/>
  <c r="Y30" i="3"/>
  <c r="Q29" i="2"/>
  <c r="P29" i="2"/>
  <c r="O29" i="2"/>
  <c r="Q28" i="2"/>
  <c r="P28" i="2"/>
  <c r="O28" i="2"/>
  <c r="P27" i="2"/>
  <c r="O27" i="2"/>
  <c r="L27" i="2"/>
  <c r="Q27" i="2" s="1"/>
  <c r="Q26" i="2"/>
  <c r="P26" i="2"/>
  <c r="O26" i="2"/>
  <c r="P25" i="2"/>
  <c r="O25" i="2"/>
  <c r="J25" i="2"/>
  <c r="V25" i="2" s="1"/>
  <c r="Q24" i="2"/>
  <c r="P24" i="2"/>
  <c r="O24" i="2"/>
  <c r="Q23" i="2"/>
  <c r="P23" i="2"/>
  <c r="O23" i="2"/>
  <c r="Q22" i="2"/>
  <c r="P22" i="2"/>
  <c r="O22" i="2"/>
  <c r="Q21" i="2"/>
  <c r="P21" i="2"/>
  <c r="O21" i="2"/>
  <c r="Q20" i="2"/>
  <c r="P20" i="2"/>
  <c r="O20" i="2"/>
  <c r="Q19" i="2"/>
  <c r="P19" i="2"/>
  <c r="O19" i="2"/>
  <c r="Q18" i="2"/>
  <c r="P18" i="2"/>
  <c r="O18" i="2"/>
  <c r="Q17" i="2"/>
  <c r="P17" i="2"/>
  <c r="O17" i="2"/>
  <c r="Q16" i="2"/>
  <c r="P16" i="2"/>
  <c r="O16" i="2"/>
  <c r="Q15" i="2"/>
  <c r="P15" i="2"/>
  <c r="O15" i="2"/>
  <c r="Q14" i="2"/>
  <c r="P14" i="2"/>
  <c r="O14" i="2"/>
  <c r="Q13" i="2"/>
  <c r="P13" i="2"/>
  <c r="O13" i="2"/>
  <c r="Q12" i="2"/>
  <c r="P12" i="2"/>
  <c r="O12" i="2"/>
  <c r="Q11" i="2"/>
  <c r="P11" i="2"/>
  <c r="O11" i="2"/>
  <c r="Q10" i="2"/>
  <c r="P10" i="2"/>
  <c r="O10" i="2"/>
  <c r="Q9" i="2"/>
  <c r="P9" i="2"/>
  <c r="O9" i="2"/>
  <c r="Q8" i="2"/>
  <c r="P8" i="2"/>
  <c r="O8" i="2"/>
  <c r="Q7" i="2"/>
  <c r="P7" i="2"/>
  <c r="O7" i="2"/>
  <c r="Q6" i="2"/>
  <c r="P6" i="2"/>
  <c r="O6" i="2"/>
  <c r="Q5" i="2"/>
  <c r="P5" i="2"/>
  <c r="O5" i="2"/>
  <c r="Q4" i="2"/>
  <c r="P4" i="2"/>
  <c r="O4" i="2"/>
  <c r="Q3" i="2"/>
  <c r="P3" i="2"/>
  <c r="O3" i="2"/>
  <c r="F29" i="3"/>
  <c r="U29" i="3"/>
  <c r="V29" i="3"/>
  <c r="W29" i="3"/>
  <c r="X29" i="3" s="1"/>
  <c r="W28" i="3"/>
  <c r="V28" i="3"/>
  <c r="U28" i="3"/>
  <c r="V27" i="3"/>
  <c r="U27" i="3"/>
  <c r="W27" i="3"/>
  <c r="W26" i="3"/>
  <c r="V26" i="3"/>
  <c r="Y26" i="3" s="1"/>
  <c r="U26" i="3"/>
  <c r="V25" i="3"/>
  <c r="U25" i="3"/>
  <c r="N25" i="3"/>
  <c r="W25" i="3" s="1"/>
  <c r="W24" i="3"/>
  <c r="V24" i="3"/>
  <c r="U24" i="3"/>
  <c r="W23" i="3"/>
  <c r="V23" i="3"/>
  <c r="U23" i="3"/>
  <c r="W22" i="3"/>
  <c r="V22" i="3"/>
  <c r="U22" i="3"/>
  <c r="W21" i="3"/>
  <c r="V21" i="3"/>
  <c r="Y21" i="3" s="1"/>
  <c r="U21" i="3"/>
  <c r="F21" i="3"/>
  <c r="W20" i="3"/>
  <c r="V20" i="3"/>
  <c r="U20" i="3"/>
  <c r="F20" i="3"/>
  <c r="W19" i="3"/>
  <c r="V19" i="3"/>
  <c r="U19" i="3"/>
  <c r="F19" i="3"/>
  <c r="W18" i="3"/>
  <c r="V18" i="3"/>
  <c r="U18" i="3"/>
  <c r="F18" i="3"/>
  <c r="W17" i="3"/>
  <c r="V17" i="3"/>
  <c r="U17" i="3"/>
  <c r="F17" i="3"/>
  <c r="W16" i="3"/>
  <c r="V16" i="3"/>
  <c r="U16" i="3"/>
  <c r="F16" i="3"/>
  <c r="W15" i="3"/>
  <c r="V15" i="3"/>
  <c r="U15" i="3"/>
  <c r="F15" i="3"/>
  <c r="W14" i="3"/>
  <c r="V14" i="3"/>
  <c r="U14" i="3"/>
  <c r="F14" i="3"/>
  <c r="W13" i="3"/>
  <c r="V13" i="3"/>
  <c r="U13" i="3"/>
  <c r="F13" i="3"/>
  <c r="W12" i="3"/>
  <c r="V12" i="3"/>
  <c r="U12" i="3"/>
  <c r="F12" i="3"/>
  <c r="W11" i="3"/>
  <c r="V11" i="3"/>
  <c r="U11" i="3"/>
  <c r="F11" i="3"/>
  <c r="W10" i="3"/>
  <c r="V10" i="3"/>
  <c r="U10" i="3"/>
  <c r="F10" i="3"/>
  <c r="W9" i="3"/>
  <c r="V9" i="3"/>
  <c r="U9" i="3"/>
  <c r="F9" i="3"/>
  <c r="W8" i="3"/>
  <c r="V8" i="3"/>
  <c r="U8" i="3"/>
  <c r="F8" i="3"/>
  <c r="W7" i="3"/>
  <c r="V7" i="3"/>
  <c r="U7" i="3"/>
  <c r="F7" i="3"/>
  <c r="W6" i="3"/>
  <c r="V6" i="3"/>
  <c r="Y6" i="3" s="1"/>
  <c r="U6" i="3"/>
  <c r="F6" i="3"/>
  <c r="W5" i="3"/>
  <c r="V5" i="3"/>
  <c r="U5" i="3"/>
  <c r="F5" i="3"/>
  <c r="W4" i="3"/>
  <c r="V4" i="3"/>
  <c r="U4" i="3"/>
  <c r="F4" i="3"/>
  <c r="W3" i="3"/>
  <c r="V3" i="3"/>
  <c r="U3" i="3"/>
  <c r="F3" i="3"/>
  <c r="Q25" i="2" l="1"/>
  <c r="Y29" i="3"/>
  <c r="T29" i="2"/>
  <c r="S29" i="2"/>
  <c r="T28" i="2"/>
  <c r="S28" i="2"/>
  <c r="S27" i="2"/>
  <c r="T27" i="2"/>
  <c r="T26" i="2"/>
  <c r="S26" i="2"/>
  <c r="S25" i="2"/>
  <c r="T25" i="2"/>
  <c r="T24" i="2"/>
  <c r="S24" i="2"/>
  <c r="S23" i="2"/>
  <c r="T23" i="2"/>
  <c r="S22" i="2"/>
  <c r="T22" i="2"/>
  <c r="S21" i="2"/>
  <c r="T21" i="2"/>
  <c r="T20" i="2"/>
  <c r="S20" i="2"/>
  <c r="S19" i="2"/>
  <c r="T19" i="2"/>
  <c r="S18" i="2"/>
  <c r="T18" i="2"/>
  <c r="S17" i="2"/>
  <c r="T17" i="2"/>
  <c r="S16" i="2"/>
  <c r="T16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S8" i="2"/>
  <c r="T8" i="2"/>
  <c r="S7" i="2"/>
  <c r="T7" i="2"/>
  <c r="T6" i="2"/>
  <c r="S6" i="2"/>
  <c r="S5" i="2"/>
  <c r="T5" i="2"/>
  <c r="S4" i="2"/>
  <c r="T4" i="2"/>
  <c r="S3" i="2"/>
  <c r="T3" i="2"/>
  <c r="X26" i="3"/>
  <c r="X21" i="3"/>
  <c r="X6" i="3"/>
  <c r="Y28" i="3"/>
  <c r="X28" i="3"/>
  <c r="X27" i="3"/>
  <c r="Y27" i="3"/>
  <c r="X25" i="3"/>
  <c r="Y25" i="3"/>
  <c r="Y24" i="3"/>
  <c r="X24" i="3"/>
  <c r="Y23" i="3"/>
  <c r="X23" i="3"/>
  <c r="Y22" i="3"/>
  <c r="X22" i="3"/>
  <c r="Y20" i="3"/>
  <c r="X20" i="3"/>
  <c r="X19" i="3"/>
  <c r="Y19" i="3"/>
  <c r="Y18" i="3"/>
  <c r="X18" i="3"/>
  <c r="Y17" i="3"/>
  <c r="X17" i="3"/>
  <c r="Y16" i="3"/>
  <c r="X16" i="3"/>
  <c r="Y15" i="3"/>
  <c r="X15" i="3"/>
  <c r="Y14" i="3"/>
  <c r="X14" i="3"/>
  <c r="Y13" i="3"/>
  <c r="X13" i="3"/>
  <c r="Y12" i="3"/>
  <c r="X12" i="3"/>
  <c r="Y11" i="3"/>
  <c r="X11" i="3"/>
  <c r="Y10" i="3"/>
  <c r="X10" i="3"/>
  <c r="Y9" i="3"/>
  <c r="X9" i="3"/>
  <c r="Y8" i="3"/>
  <c r="X8" i="3"/>
  <c r="Y7" i="3"/>
  <c r="X7" i="3"/>
  <c r="Y5" i="3"/>
  <c r="X5" i="3"/>
  <c r="Y4" i="3"/>
  <c r="X4" i="3"/>
  <c r="Y3" i="3"/>
  <c r="X3" i="3"/>
  <c r="U20" i="1" l="1"/>
  <c r="E19" i="1" l="1"/>
  <c r="U19" i="1"/>
  <c r="V19" i="1" s="1"/>
  <c r="E20" i="1"/>
  <c r="V20" i="1"/>
  <c r="V21" i="1"/>
  <c r="E18" i="1"/>
  <c r="T18" i="1"/>
  <c r="U18" i="1"/>
  <c r="V18" i="1" s="1"/>
  <c r="E17" i="1"/>
  <c r="T17" i="1"/>
  <c r="U17" i="1"/>
  <c r="V17" i="1" s="1"/>
  <c r="E16" i="1" l="1"/>
  <c r="T16" i="1"/>
  <c r="U16" i="1"/>
  <c r="V16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U2" i="1"/>
  <c r="V2" i="1" s="1"/>
  <c r="U3" i="1"/>
  <c r="V3" i="1" s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22" authorId="0" shapeId="0" xr:uid="{F2EEF668-12EE-46B1-AC0D-5F12A14844EC}">
      <text>
        <r>
          <rPr>
            <sz val="9"/>
            <color indexed="81"/>
            <rFont val="Tahoma"/>
            <family val="2"/>
          </rPr>
          <t>08/11/2025, 
DAM vol &amp; amount not considered, added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22" authorId="0" shapeId="0" xr:uid="{647C6670-86F8-4CDB-B0F9-DFE73EB33554}">
      <text>
        <r>
          <rPr>
            <sz val="9"/>
            <color indexed="81"/>
            <rFont val="Tahoma"/>
            <family val="2"/>
          </rPr>
          <t>08/11/2025, 
DAM vol &amp; amount not considered, added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tc={3D29E109-1B9A-4A70-B698-6947A82F2AEF}</author>
    <author>tc={2DACFC22-6FDE-4C16-8DE4-D9F9101C278D}</author>
  </authors>
  <commentList>
    <comment ref="K1" authorId="0" shapeId="0" xr:uid="{3D29E109-1B9A-4A70-B698-6947A82F2AEF}">
      <text>
        <t>[Threaded comment]
Your version of Excel allows you to read this threaded comment; however, any edits to it will get removed if the file is opened in a newer version of Excel. Learn more: https://go.microsoft.com/fwlink/?linkid=870924
Comment:
    NVNR SOLAR POWER-1</t>
      </text>
    </comment>
    <comment ref="L1" authorId="1" shapeId="0" xr:uid="{2DACFC22-6FDE-4C16-8DE4-D9F9101C278D}">
      <text>
        <t>[Threaded comment]
Your version of Excel allows you to read this threaded comment; however, any edits to it will get removed if the file is opened in a newer version of Excel. Learn more: https://go.microsoft.com/fwlink/?linkid=870924
Comment:
    NVNR SOLAR POWER-1 VALUE</t>
      </text>
    </comment>
  </commentList>
</comments>
</file>

<file path=xl/sharedStrings.xml><?xml version="1.0" encoding="utf-8"?>
<sst xmlns="http://schemas.openxmlformats.org/spreadsheetml/2006/main" count="289" uniqueCount="56">
  <si>
    <t>Total Unts</t>
  </si>
  <si>
    <t>Month/Year</t>
  </si>
  <si>
    <t>Unit Name</t>
  </si>
  <si>
    <t>Total Value</t>
  </si>
  <si>
    <t>FSA/FPPCA/Other
Charges</t>
  </si>
  <si>
    <t>Solar-Rooftop
(KWh)</t>
  </si>
  <si>
    <t>DG Units
(Kwh)</t>
  </si>
  <si>
    <t>IEX-Value
(Rs.)</t>
  </si>
  <si>
    <t>OA Considered
IEX (Kwh)</t>
  </si>
  <si>
    <t>OA Issued
IEX (Kwh)</t>
  </si>
  <si>
    <t>RMD
(KVA)</t>
  </si>
  <si>
    <t>CMD
(KVA)</t>
  </si>
  <si>
    <t>Excess Demand</t>
  </si>
  <si>
    <t>LTPPA
(Demand)</t>
  </si>
  <si>
    <t>TOD-Insentive
(KVAH)</t>
  </si>
  <si>
    <t>TOD-Peak
(KVAH)</t>
  </si>
  <si>
    <t>EB Units
(KVAH)</t>
  </si>
  <si>
    <t>Wheeling /CSS/AS</t>
  </si>
  <si>
    <t>EB Value Total (Rs.)</t>
  </si>
  <si>
    <t>OA Unit-LTPPA
(KWh)</t>
  </si>
  <si>
    <t>LTPPA-Value
(Rs.)</t>
  </si>
  <si>
    <t>Remarks
(ICD/ACD/Or any)</t>
  </si>
  <si>
    <t>Avg. Rate/Kwh</t>
  </si>
  <si>
    <t>APL U-15</t>
  </si>
  <si>
    <t>Month/
Year</t>
  </si>
  <si>
    <t>Unit
Name</t>
  </si>
  <si>
    <t>Total value
(Rs.)</t>
  </si>
  <si>
    <t>EB &amp; OA units
(Kvah)</t>
  </si>
  <si>
    <t>DG Units
(Kvah)</t>
  </si>
  <si>
    <t>Solar-Rooftop
(Kvah)</t>
  </si>
  <si>
    <t>OA Unit-LTPPA
(Kvah)</t>
  </si>
  <si>
    <t>OA Considered
IEX (Kvah)</t>
  </si>
  <si>
    <t>OA Issued
IEX (Kvah)</t>
  </si>
  <si>
    <t>EB Units
(Kvah)</t>
  </si>
  <si>
    <t>TOD-Peak
(Kvah)</t>
  </si>
  <si>
    <t>TOD-Insentive
(Kvah)</t>
  </si>
  <si>
    <t>EB Value Total 
(Rs.)</t>
  </si>
  <si>
    <t>Total Unts
(Kvah)</t>
  </si>
  <si>
    <t xml:space="preserve"> Landed Rate/Kwh with FPPC
(Rs.)</t>
  </si>
  <si>
    <t>Landed Rate/Kwh without FPPC
(Rs.)</t>
  </si>
  <si>
    <t>APL HCL-4</t>
  </si>
  <si>
    <t>Unit-VII</t>
  </si>
  <si>
    <t>Column1</t>
  </si>
  <si>
    <t>OA/ IEX Rate/Kwh</t>
  </si>
  <si>
    <t>Column2</t>
  </si>
  <si>
    <t>UNIT -XII</t>
  </si>
  <si>
    <t>MCL-1070</t>
  </si>
  <si>
    <t>OA (NVNR SOLAR)  Unit-LTPPA
(KWh)</t>
  </si>
  <si>
    <t>LTPPA                  ( NVNR solar ) -Value
(Rs.)</t>
  </si>
  <si>
    <t>unit -XII</t>
  </si>
  <si>
    <t>ICD - 2466796</t>
  </si>
  <si>
    <t>ICD - 2807293</t>
  </si>
  <si>
    <t xml:space="preserve">EB,OA&amp; NVNR final settlement Bill Yet to receive </t>
  </si>
  <si>
    <t>UNIT-3</t>
  </si>
  <si>
    <t>Incentive TOD charged not coverd in settlement bill</t>
  </si>
  <si>
    <t>solar adjustment in settlement bill (- 6729948 rs/-)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</si>
</sst>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0.0"/>
    <numFmt numFmtId="165" formatCode="_ * #,##0_ ;_ * \-#,##0_ ;_ * &quot;-&quot;??_ ;_ @_ "/>
  </numFmts>
  <fonts count="1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</font>
    <font>
      <b/>
      <sz val="11"/>
      <color theme="1"/>
      <name val="Times New Roman"/>
      <family val="1"/>
    </font>
    <font>
      <sz val="10"/>
      <name val="Times New Roman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43" fontId="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5" fillId="0" borderId="0" applyBorder="0"/>
    <xf numFmtId="43" fontId="3" fillId="0" borderId="0" applyFont="0" applyFill="0" applyBorder="0" applyAlignment="0" applyProtection="0"/>
    <xf numFmtId="43" fontId="3" fillId="0" borderId="0"/>
  </cellStyleXfs>
  <cellXfs count="83">
    <xf numFmtId="0" fontId="0" fillId="0" borderId="0" xfId="0"/>
    <xf numFmtId="0" fontId="1" fillId="2" borderId="1" xfId="1" applyBorder="1" applyAlignment="1" applyProtection="1">
      <alignment horizontal="center" vertical="center"/>
      <protection locked="0"/>
    </xf>
    <xf numFmtId="0" fontId="1" fillId="2" borderId="1" xfId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7" fontId="0" fillId="0" borderId="0" xfId="0" applyNumberFormat="1" applyProtection="1">
      <protection locked="0"/>
    </xf>
    <xf numFmtId="2" fontId="0" fillId="0" borderId="0" xfId="0" applyNumberFormat="1"/>
    <xf numFmtId="2" fontId="0" fillId="0" borderId="0" xfId="0" applyNumberFormat="1" applyProtection="1">
      <protection locked="0"/>
    </xf>
    <xf numFmtId="0" fontId="0" fillId="0" borderId="0" xfId="0" applyAlignment="1">
      <alignment horizontal="center" vertical="center"/>
    </xf>
    <xf numFmtId="17" fontId="7" fillId="3" borderId="1" xfId="0" applyNumberFormat="1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164" fontId="7" fillId="3" borderId="1" xfId="0" applyNumberFormat="1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 applyProtection="1">
      <alignment horizontal="center" vertical="center"/>
      <protection locked="0"/>
    </xf>
    <xf numFmtId="1" fontId="7" fillId="3" borderId="1" xfId="0" applyNumberFormat="1" applyFont="1" applyFill="1" applyBorder="1" applyAlignment="1">
      <alignment horizontal="center" vertical="center"/>
    </xf>
    <xf numFmtId="0" fontId="8" fillId="4" borderId="1" xfId="1" applyFont="1" applyFill="1" applyBorder="1" applyAlignment="1" applyProtection="1">
      <alignment horizontal="center" vertical="center" wrapText="1"/>
      <protection locked="0"/>
    </xf>
    <xf numFmtId="1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2" fontId="0" fillId="3" borderId="0" xfId="0" applyNumberFormat="1" applyFill="1" applyAlignment="1" applyProtection="1">
      <alignment horizontal="center" vertical="center"/>
      <protection locked="0"/>
    </xf>
    <xf numFmtId="17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 applyProtection="1">
      <alignment horizontal="center" vertical="center"/>
      <protection locked="0"/>
    </xf>
    <xf numFmtId="1" fontId="0" fillId="3" borderId="0" xfId="0" applyNumberForma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17" fontId="10" fillId="3" borderId="1" xfId="0" applyNumberFormat="1" applyFon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 applyProtection="1">
      <alignment horizontal="center" vertical="center"/>
      <protection locked="0"/>
    </xf>
    <xf numFmtId="0" fontId="9" fillId="3" borderId="5" xfId="0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1" fontId="9" fillId="3" borderId="4" xfId="0" applyNumberFormat="1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>
      <alignment horizontal="center" vertical="center"/>
    </xf>
    <xf numFmtId="165" fontId="9" fillId="3" borderId="4" xfId="9" applyNumberFormat="1" applyFont="1" applyFill="1" applyBorder="1" applyAlignment="1" applyProtection="1">
      <alignment horizontal="center" vertical="center"/>
      <protection locked="0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Protection="1">
      <protection locked="0"/>
    </xf>
    <xf numFmtId="3" fontId="10" fillId="0" borderId="1" xfId="0" applyNumberFormat="1" applyFont="1" applyBorder="1" applyAlignment="1">
      <alignment horizontal="right"/>
    </xf>
    <xf numFmtId="3" fontId="0" fillId="5" borderId="3" xfId="0" applyNumberFormat="1" applyFill="1" applyBorder="1" applyProtection="1">
      <protection locked="0"/>
    </xf>
    <xf numFmtId="3" fontId="10" fillId="0" borderId="1" xfId="0" applyNumberFormat="1" applyFont="1" applyBorder="1" applyAlignment="1" applyProtection="1">
      <alignment horizontal="right"/>
      <protection locked="0"/>
    </xf>
    <xf numFmtId="0" fontId="11" fillId="4" borderId="6" xfId="1" applyFont="1" applyFill="1" applyBorder="1" applyAlignment="1" applyProtection="1">
      <alignment horizontal="center" vertical="center" wrapText="1"/>
      <protection locked="0"/>
    </xf>
    <xf numFmtId="1" fontId="0" fillId="0" borderId="0" xfId="0" applyNumberFormat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7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" fontId="0" fillId="3" borderId="1" xfId="0" applyNumberForma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0" xfId="0" applyFill="1"/>
    <xf numFmtId="17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7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/>
    </xf>
    <xf numFmtId="0" fontId="0" fillId="0" borderId="7" xfId="0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1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1" xfId="0" applyFill="1" applyBorder="1" applyAlignment="1" applyProtection="1">
      <alignment horizontal="center" vertical="center" wrapText="1"/>
      <protection locked="0"/>
    </xf>
    <xf numFmtId="0" fontId="0" fillId="3" borderId="0" xfId="0" applyFill="1" applyAlignment="1">
      <alignment horizontal="center"/>
    </xf>
    <xf numFmtId="0" fontId="5" fillId="0" borderId="0" xfId="0" applyFont="1" applyAlignment="1">
      <alignment vertical="center"/>
    </xf>
    <xf numFmtId="1" fontId="0" fillId="0" borderId="0" xfId="0" applyNumberFormat="1"/>
    <xf numFmtId="1" fontId="0" fillId="0" borderId="0" xfId="0" applyNumberFormat="1" applyProtection="1">
      <protection locked="0"/>
    </xf>
  </cellXfs>
  <cellStyles count="11">
    <cellStyle name="Accent4" xfId="1" builtinId="41"/>
    <cellStyle name="Comma 2" xfId="2" xr:uid="{00000000-0005-0000-0000-000001000000}"/>
    <cellStyle name="Comma 2 2" xfId="10" xr:uid="{74AEFC73-D02B-4D1B-8915-1E5537F711A2}"/>
    <cellStyle name="Comma 3" xfId="9" xr:uid="{C6C51244-5949-4EC5-978A-A0F4DFD0DF2F}"/>
    <cellStyle name="Normal" xfId="0" builtinId="0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7" xr:uid="{00000000-0005-0000-0000-000007000000}"/>
    <cellStyle name="Normal 7" xfId="8" xr:uid="{00000000-0005-0000-0000-000008000000}"/>
  </cellStyles>
  <dxfs count="196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" formatCode="0"/>
      <fill>
        <patternFill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22" formatCode="mmm/yy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textRotation="0" indent="0" justifyLastLine="0" shrinkToFit="0" readingOrder="0"/>
      <protection locked="0" hidden="0"/>
    </dxf>
    <dxf>
      <alignment horizontal="center" textRotation="0" indent="0" justifyLastLine="0" shrinkToFit="0" readingOrder="0"/>
      <protection locked="0" hidden="0"/>
    </dxf>
    <dxf>
      <border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0" formatCode="General"/>
      <protection locked="0" hidden="0"/>
    </dxf>
    <dxf>
      <numFmt numFmtId="2" formatCode="0.00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3" formatCode="#,##0"/>
      <protection locked="0" hidden="0"/>
    </dxf>
    <dxf>
      <protection locked="0" hidden="0"/>
    </dxf>
    <dxf>
      <numFmt numFmtId="3" formatCode="#,##0"/>
      <protection locked="0" hidden="0"/>
    </dxf>
    <dxf>
      <numFmt numFmtId="3" formatCode="#,##0"/>
      <protection locked="0" hidden="0"/>
    </dxf>
    <dxf>
      <numFmt numFmtId="3" formatCode="#,##0"/>
      <protection locked="0" hidden="0"/>
    </dxf>
    <dxf>
      <numFmt numFmtId="3" formatCode="#,##0"/>
      <protection locked="0" hidden="0"/>
    </dxf>
    <dxf>
      <protection locked="0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numFmt numFmtId="22" formatCode="mmm/yy"/>
      <protection locked="0" hidden="0"/>
    </dxf>
    <dxf>
      <protection locked="0" hidden="0"/>
    </dxf>
    <dxf>
      <protection locked="0" hidden="0"/>
    </dxf>
    <dxf>
      <border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</font>
      <numFmt numFmtId="1" formatCode="0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2" formatCode="mmm/yy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indent="0" justifyLastLine="0" shrinkToFit="0" readingOrder="0"/>
      <protection locked="0" hidden="0"/>
    </dxf>
    <dxf>
      <font>
        <b val="0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</font>
      <numFmt numFmtId="0" formatCode="General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</font>
      <numFmt numFmtId="0" formatCode="General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</font>
      <numFmt numFmtId="1" formatCode="0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" formatCode="0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0.0"/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4" formatCode="0.0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22" formatCode="mmm/yy"/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indent="0" justifyLastLine="0" shrinkToFit="0" readingOrder="0"/>
      <protection locked="0" hidden="0"/>
    </dxf>
    <dxf>
      <font>
        <b val="0"/>
      </font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numFmt numFmtId="0" formatCode="General"/>
      <protection locked="0" hidden="0"/>
    </dxf>
    <dxf>
      <numFmt numFmtId="2" formatCode="0.00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numFmt numFmtId="22" formatCode="mmm/yy"/>
      <protection locked="0" hidden="0"/>
    </dxf>
    <dxf>
      <protection locked="0" hidden="0"/>
    </dxf>
    <dxf>
      <protection locked="0" hidden="0"/>
    </dxf>
    <dxf>
      <border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protection locked="0" hidden="0"/>
    </dxf>
    <dxf>
      <numFmt numFmtId="2" formatCode="0.00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22" formatCode="mmm/yy"/>
      <protection locked="0" hidden="0"/>
    </dxf>
    <dxf>
      <protection locked="0" hidden="0"/>
    </dxf>
    <dxf>
      <protection locked="0" hidden="0"/>
    </dxf>
    <dxf>
      <border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95"/>
      <tableStyleElement type="headerRow" dxfId="19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jeevan Kanchamreddy" id="{0B75EE95-58D2-46C3-98A7-AFCB772A6E7B}" userId="S-1-5-21-457555139-3606974290-3862715996-3810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W21" headerRowDxfId="171" dataDxfId="169" totalsRowDxfId="168" headerRowBorderDxfId="170" headerRowCellStyle="Accent4">
  <tableColumns count="23">
    <tableColumn id="2" xr3:uid="{00000000-0010-0000-0000-000002000000}" name="Month/Year" dataDxfId="167"/>
    <tableColumn id="1" xr3:uid="{00000000-0010-0000-0000-000001000000}" name="Unit Name" totalsRowLabel="Total" dataDxfId="166"/>
    <tableColumn id="17" xr3:uid="{00000000-0010-0000-0000-000011000000}" name="CMD_x000a_(KVA)" dataDxfId="165"/>
    <tableColumn id="4" xr3:uid="{00000000-0010-0000-0000-000004000000}" name="RMD_x000a_(KVA)" dataDxfId="164"/>
    <tableColumn id="18" xr3:uid="{00000000-0010-0000-0000-000012000000}" name="Excess Demand" dataDxfId="163">
      <calculatedColumnFormula>IF(Table2[[#This Row],[RMD
(KVA)]]&gt;Table2[[#This Row],[CMD
(KVA)]],Table2[[#This Row],[RMD
(KVA)]]-Table2[[#This Row],[CMD
(KVA)]],"")</calculatedColumnFormula>
    </tableColumn>
    <tableColumn id="19" xr3:uid="{00000000-0010-0000-0000-000013000000}" name="LTPPA_x000a_(Demand)" dataDxfId="162"/>
    <tableColumn id="3" xr3:uid="{00000000-0010-0000-0000-000003000000}" name="EB Units_x000a_(KVAH)" dataDxfId="161"/>
    <tableColumn id="21" xr3:uid="{00000000-0010-0000-0000-000015000000}" name="TOD-Peak_x000a_(KVAH)" dataDxfId="160"/>
    <tableColumn id="20" xr3:uid="{00000000-0010-0000-0000-000014000000}" name="TOD-Insentive_x000a_(KVAH)" dataDxfId="159"/>
    <tableColumn id="22" xr3:uid="{00000000-0010-0000-0000-000016000000}" name="Wheeling /CSS/AS" dataDxfId="158"/>
    <tableColumn id="13" xr3:uid="{00000000-0010-0000-0000-00000D000000}" name="FSA/FPPCA/Other_x000a_Charges" dataDxfId="157"/>
    <tableColumn id="5" xr3:uid="{00000000-0010-0000-0000-000005000000}" name="EB Value Total (Rs.)" dataDxfId="156"/>
    <tableColumn id="14" xr3:uid="{00000000-0010-0000-0000-00000E000000}" name="OA Issued_x000a_IEX (Kwh)" dataDxfId="155"/>
    <tableColumn id="6" xr3:uid="{00000000-0010-0000-0000-000006000000}" name="OA Considered_x000a_IEX (Kwh)" dataDxfId="154"/>
    <tableColumn id="7" xr3:uid="{00000000-0010-0000-0000-000007000000}" name="IEX-Value_x000a_(Rs.)" dataDxfId="153"/>
    <tableColumn id="8" xr3:uid="{00000000-0010-0000-0000-000008000000}" name="OA Unit-LTPPA_x000a_(KWh)" dataDxfId="152"/>
    <tableColumn id="9" xr3:uid="{00000000-0010-0000-0000-000009000000}" name="LTPPA-Value_x000a_(Rs.)" dataDxfId="151"/>
    <tableColumn id="10" xr3:uid="{00000000-0010-0000-0000-00000A000000}" name="Solar-Rooftop_x000a_(KWh)" dataDxfId="150"/>
    <tableColumn id="11" xr3:uid="{00000000-0010-0000-0000-00000B000000}" name="DG Units_x000a_(Kwh)" dataDxfId="149"/>
    <tableColumn id="12" xr3:uid="{00000000-0010-0000-0000-00000C000000}" name="Total Unts" dataDxfId="148">
      <calculatedColumnFormula>Table2[[#This Row],[EB Units
(KVAH)]]+Table2[[#This Row],[OA Considered
IEX (Kwh)]]+Table2[[#This Row],[OA Unit-LTPPA
(KWh)]]+Table2[[#This Row],[Solar-Rooftop
(KWh)]]+Table2[[#This Row],[DG Units
(Kwh)]]</calculatedColumnFormula>
    </tableColumn>
    <tableColumn id="15" xr3:uid="{00000000-0010-0000-0000-00000F000000}" name="Total Value" dataDxfId="147">
      <calculatedColumnFormula>Table2[[#This Row],[EB Value Total (Rs.)]]+Table2[[#This Row],[IEX-Value
(Rs.)]]+Table2[[#This Row],[LTPPA-Value
(Rs.)]]</calculatedColumnFormula>
    </tableColumn>
    <tableColumn id="16" xr3:uid="{00000000-0010-0000-0000-000010000000}" name="Avg. Rate/Kwh" totalsRowFunction="count" dataDxfId="146">
      <calculatedColumnFormula>IFERROR(Table2[[#This Row],[Total Value]]/(Table2[[#This Row],[EB Units
(KVAH)]]+Table2[[#This Row],[OA Considered
IEX (Kwh)]]+Table2[[#This Row],[OA Unit-LTPPA
(KWh)]]),"")</calculatedColumnFormula>
    </tableColumn>
    <tableColumn id="23" xr3:uid="{00000000-0010-0000-0000-000017000000}" name="Remarks_x000a_(ICD/ACD/Or any)" dataDxfId="145"/>
  </tableColumns>
  <tableStyleInfo name="TableStyleLight19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28A1D8-B265-4A93-8157-B4F7FD2FDF64}" name="Table226" displayName="Table226" ref="B2:W28" totalsRowShown="0" headerRowDxfId="144" dataDxfId="142" totalsRowDxfId="141" headerRowBorderDxfId="143" headerRowCellStyle="Accent4">
  <tableColumns count="22">
    <tableColumn id="2" xr3:uid="{F86F4BA0-996E-4387-B5B1-EE8D3F747AAC}" name="Month/_x000a_Year" dataDxfId="140"/>
    <tableColumn id="1" xr3:uid="{5AFE5FFA-624C-432E-8A2C-76CAE9F6B231}" name="Unit_x000a_Name" dataDxfId="139" totalsRowDxfId="138"/>
    <tableColumn id="17" xr3:uid="{86F60B0D-1DDF-4457-981F-A46957F73BF7}" name="CMD_x000a_(KVA)" dataDxfId="137" totalsRowDxfId="136"/>
    <tableColumn id="4" xr3:uid="{464B4ACF-B897-498B-BAE3-1D5C3ADBA769}" name="RMD_x000a_(KVA)" dataDxfId="135" totalsRowDxfId="134"/>
    <tableColumn id="3" xr3:uid="{97B784F9-645F-4209-95F2-B427FAC76E57}" name="EB Units_x000a_(Kvah)" dataDxfId="133" totalsRowDxfId="132"/>
    <tableColumn id="23" xr3:uid="{33FBC31F-528F-43B5-AA6B-CC3D8870C5EE}" name="OA Issued_x000a_IEX (Kvah)" dataDxfId="131" totalsRowDxfId="130"/>
    <tableColumn id="28" xr3:uid="{97E11B93-FF46-4A39-8C3F-7AE7DD38089E}" name="OA Considered_x000a_IEX (Kvah)" dataDxfId="129" totalsRowDxfId="128"/>
    <tableColumn id="16" xr3:uid="{4FD1D16A-89B3-45A0-9377-1098B8D73D0D}" name="IEX-Value_x000a_(Rs.)" dataDxfId="127" totalsRowDxfId="126"/>
    <tableColumn id="22" xr3:uid="{920F42BC-8434-43A8-99FF-821744B926E3}" name="Wheeling /CSS/AS" dataDxfId="125" totalsRowDxfId="124"/>
    <tableColumn id="13" xr3:uid="{80FEE960-CCCF-4651-929E-BE6CF03856B2}" name="FSA/FPPCA/Other_x000a_Charges" dataDxfId="123" totalsRowDxfId="122"/>
    <tableColumn id="5" xr3:uid="{0F65D8E8-81AE-4C6B-9241-FCDF5AFE6B58}" name="EB Value Total _x000a_(Rs.)" dataDxfId="121" totalsRowDxfId="120"/>
    <tableColumn id="10" xr3:uid="{EA29B193-FE7B-41EE-AE29-294F452E27AB}" name="Solar-Rooftop_x000a_(Kvah)" dataDxfId="119" totalsRowDxfId="118"/>
    <tableColumn id="11" xr3:uid="{EA512E1C-AD75-4DA8-9E3A-5E6118DFC5A8}" name="DG Units_x000a_(Kvah)" dataDxfId="117" totalsRowDxfId="116"/>
    <tableColumn id="12" xr3:uid="{E3482EEF-CD7B-45A6-8511-369966AA3810}" name="Total Unts_x000a_(Kvah)" dataDxfId="115" totalsRowDxfId="114">
      <calculatedColumnFormula>F3+H3+M3+N3</calculatedColumnFormula>
    </tableColumn>
    <tableColumn id="24" xr3:uid="{B262F0C9-FDE9-48D1-BC6E-457FC17B36B3}" name="EB &amp; OA units_x000a_(Kvah)" dataDxfId="113" totalsRowDxfId="112">
      <calculatedColumnFormula>F3+H3</calculatedColumnFormula>
    </tableColumn>
    <tableColumn id="25" xr3:uid="{6B2764F2-AB0B-4817-96F2-B296C3DC3DEA}" name="Total value_x000a_(Rs.)" dataDxfId="111" totalsRowDxfId="110">
      <calculatedColumnFormula>(I3-J3)+L3</calculatedColumnFormula>
    </tableColumn>
    <tableColumn id="6" xr3:uid="{769C0A18-7A43-4C8D-BB55-AFCD97CEB05E}" name="OA/ IEX Rate/Kwh" dataDxfId="109"/>
    <tableColumn id="15" xr3:uid="{EF317B28-14D1-4695-AD90-4C654311DADE}" name=" Landed Rate/Kwh with FPPC_x000a_(Rs.)" dataDxfId="108" totalsRowDxfId="107">
      <calculatedColumnFormula>Q3/P3</calculatedColumnFormula>
    </tableColumn>
    <tableColumn id="29" xr3:uid="{D46FAECB-9527-4E5B-9CDE-16F8FA699810}" name="Landed Rate/Kwh without FPPC_x000a_(Rs.)" dataDxfId="106" totalsRowDxfId="105">
      <calculatedColumnFormula>(Q3-K3)/P3</calculatedColumnFormula>
    </tableColumn>
    <tableColumn id="27" xr3:uid="{BCB7A11F-CC7A-4682-B634-F786A7914160}" name="Remarks_x000a_(ICD/ACD/Or any)" dataDxfId="104" totalsRowDxfId="103"/>
    <tableColumn id="7" xr3:uid="{46899DB7-FBE2-4696-BFB3-7CE957D9D694}" name="Column1" dataDxfId="102" totalsRowDxfId="101">
      <calculatedColumnFormula>Table226[[#This Row],[IEX-Value
(Rs.)]]+Table226[[#This Row],[Wheeling /CSS/AS]]</calculatedColumnFormula>
    </tableColumn>
    <tableColumn id="8" xr3:uid="{8FA0FE6D-37B0-4FF4-A8F3-D3CEFA7DA43C}" name="Column2" dataDxfId="100" totalsRowDxfId="99">
      <calculatedColumnFormula>Table226[[#This Row],[Column1]]/Table226[[#This Row],[OA Considered
IEX (Kvah)]]</calculatedColumnFormula>
    </tableColumn>
  </tableColumns>
  <tableStyleInfo name="TableStyleLight19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5A061A-87C6-4D16-9F28-52883651243B}" name="Table224" displayName="Table224" ref="B2:Z30" totalsRowShown="0" headerRowDxfId="98" dataDxfId="96" totalsRowDxfId="95" headerRowBorderDxfId="97" headerRowCellStyle="Accent4">
  <tableColumns count="25">
    <tableColumn id="2" xr3:uid="{23260F5D-BF59-4C15-BB36-B81B66843038}" name="Month/_x000a_Year" dataDxfId="94"/>
    <tableColumn id="1" xr3:uid="{8640FA89-FBD2-4E68-AE40-4F57AA957CB8}" name="Unit_x000a_Name" dataDxfId="93" totalsRowDxfId="92"/>
    <tableColumn id="17" xr3:uid="{6BD02ECE-E70F-4D36-94E0-323EAB0F9B19}" name="CMD_x000a_(KVA)" dataDxfId="91"/>
    <tableColumn id="4" xr3:uid="{AE594EEF-C71F-4B19-9AE1-843FD9486F42}" name="RMD_x000a_(KVA)" dataDxfId="90"/>
    <tableColumn id="18" xr3:uid="{C61FE059-8A88-42E5-8201-EB6442D7C896}" name="Excess Demand" dataDxfId="89" totalsRowDxfId="88">
      <calculatedColumnFormula>IF(Table224[[#This Row],[RMD
(KVA)]]&gt;Table224[[#This Row],[CMD
(KVA)]],Table224[[#This Row],[RMD
(KVA)]]-Table224[[#This Row],[CMD
(KVA)]],"")</calculatedColumnFormula>
    </tableColumn>
    <tableColumn id="19" xr3:uid="{EC302A33-FC8A-4AA0-B19A-9E3132BBFAE8}" name="LTPPA_x000a_(Demand)" dataDxfId="87" totalsRowDxfId="86"/>
    <tableColumn id="3" xr3:uid="{7FD1A312-85AE-4AF6-A2FD-4C90B5AFE8C0}" name="EB Units_x000a_(Kvah)" dataDxfId="85" totalsRowDxfId="84"/>
    <tableColumn id="21" xr3:uid="{2A0BF830-696E-4F80-8C83-4665839BE2E7}" name="TOD-Peak_x000a_(Kvah)" dataDxfId="83" totalsRowDxfId="82"/>
    <tableColumn id="20" xr3:uid="{19803A49-8D5C-4BCE-87F0-4AC919331653}" name="TOD-Insentive_x000a_(Kvah)" dataDxfId="81" totalsRowDxfId="80"/>
    <tableColumn id="23" xr3:uid="{3A36FC4C-ABD6-4DED-97C8-C962BD0EB51F}" name="OA Issued_x000a_IEX (Kvah)" dataDxfId="79" totalsRowDxfId="78"/>
    <tableColumn id="28" xr3:uid="{D0E86B77-6CF0-4110-A59E-B54E959A48E1}" name="OA Considered_x000a_IEX (Kvah)" dataDxfId="77" totalsRowDxfId="76"/>
    <tableColumn id="16" xr3:uid="{9073F21A-1493-42CA-9070-1DF6B7B23E2C}" name="IEX-Value_x000a_(Rs.)" dataDxfId="75" totalsRowDxfId="74"/>
    <tableColumn id="22" xr3:uid="{EB7CA037-641C-474A-81FF-A77B73414926}" name="Wheeling /CSS/AS" dataDxfId="73" totalsRowDxfId="72"/>
    <tableColumn id="13" xr3:uid="{95E83F48-68E4-4D02-9903-124FB8B8EA83}" name="FSA/FPPCA/Other_x000a_Charges" dataDxfId="71" totalsRowDxfId="70"/>
    <tableColumn id="5" xr3:uid="{1DF07254-DC59-40A2-8D89-18CCD683BBB0}" name="EB Value Total _x000a_(Rs.)" dataDxfId="69" totalsRowDxfId="68"/>
    <tableColumn id="8" xr3:uid="{198D0745-A289-41E7-81DA-66CF34F72E62}" name="OA Unit-LTPPA_x000a_(Kvah)" dataDxfId="67" totalsRowDxfId="66"/>
    <tableColumn id="9" xr3:uid="{6F8FD760-0A90-4473-9924-2C24FA11B750}" name="LTPPA-Value_x000a_(Rs.)" dataDxfId="65" totalsRowDxfId="64"/>
    <tableColumn id="10" xr3:uid="{BC96FE35-92B7-4A95-AC4A-9DED075C9582}" name="Solar-Rooftop_x000a_(Kvah)" dataDxfId="63" totalsRowDxfId="62"/>
    <tableColumn id="11" xr3:uid="{844701E0-BC2C-4786-9A5E-459335B0578A}" name="DG Units_x000a_(Kvah)" dataDxfId="61" totalsRowDxfId="60"/>
    <tableColumn id="12" xr3:uid="{CC0D3215-6B48-46FF-BB3E-935932FC7F2F}" name="Total Unts_x000a_(Kvah)" dataDxfId="59" totalsRowDxfId="58">
      <calculatedColumnFormula>H3+L3+S3+T3</calculatedColumnFormula>
    </tableColumn>
    <tableColumn id="24" xr3:uid="{1B4C66EA-9E23-4E14-B6C6-8BF41A91849F}" name="EB &amp; OA units_x000a_(Kvah)" dataDxfId="57" totalsRowDxfId="56">
      <calculatedColumnFormula>H3+L3</calculatedColumnFormula>
    </tableColumn>
    <tableColumn id="25" xr3:uid="{678B3430-06B5-428F-9F08-BD7F90980871}" name="Total value_x000a_(Rs.)" dataDxfId="55" totalsRowDxfId="54">
      <calculatedColumnFormula>(M3-N3)+P3</calculatedColumnFormula>
    </tableColumn>
    <tableColumn id="15" xr3:uid="{B6AA6130-B483-4373-8895-67F0CE5EEEE1}" name=" Landed Rate/Kwh with FPPC_x000a_(Rs.)" dataDxfId="53" totalsRowDxfId="52">
      <calculatedColumnFormula>W3/V3</calculatedColumnFormula>
    </tableColumn>
    <tableColumn id="29" xr3:uid="{648A35BD-255C-48B4-BF6A-1293CBB8314D}" name="Landed Rate/Kwh without FPPC_x000a_(Rs.)" dataDxfId="51" totalsRowDxfId="50">
      <calculatedColumnFormula>(W3-O3)/V3</calculatedColumnFormula>
    </tableColumn>
    <tableColumn id="27" xr3:uid="{21432B87-3C3D-43CE-9752-A0ED548C6E42}" name="Remarks_x000a_(ICD/ACD/Or any)" dataDxfId="49" totalsRowDxfId="48"/>
  </tableColumns>
  <tableStyleInfo name="TableStyleLight19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D045C-83D9-4D36-9809-D057C0C4694C}" name="Table22" displayName="Table22" ref="A1:W28" headerRowDxfId="47" dataDxfId="45" totalsRowDxfId="44" headerRowBorderDxfId="46" headerRowCellStyle="Accent4">
  <tableColumns count="23">
    <tableColumn id="2" xr3:uid="{CB527FB2-1064-4257-8958-482FEB074EAD}" name="Month/Year" dataDxfId="43"/>
    <tableColumn id="1" xr3:uid="{69B20D79-04C4-4E50-90D4-061A1B4E25D6}" name="Unit Name" totalsRowLabel="Total" dataDxfId="42"/>
    <tableColumn id="17" xr3:uid="{28220CDC-C2E7-468E-948E-B2FD6E1700D4}" name="CMD_x000a_(KVA)" dataDxfId="41"/>
    <tableColumn id="4" xr3:uid="{4D2DD837-A50B-4221-90D0-A72CB12235FD}" name="RMD_x000a_(KVA)" dataDxfId="40"/>
    <tableColumn id="18" xr3:uid="{0F9C3B20-8C2B-40D1-8E17-FE0B3BF3E55B}" name="Excess Demand" dataDxfId="39">
      <calculatedColumnFormula>IF(Table22[[#This Row],[RMD
(KVA)]]&gt;Table22[[#This Row],[CMD
(KVA)]],Table22[[#This Row],[RMD
(KVA)]]-Table22[[#This Row],[CMD
(KVA)]],"")</calculatedColumnFormula>
    </tableColumn>
    <tableColumn id="19" xr3:uid="{56CC2F6E-18BC-4787-8E6B-6942111504B3}" name="LTPPA_x000a_(Demand)" dataDxfId="38"/>
    <tableColumn id="3" xr3:uid="{C4F72F20-E719-4145-896B-F4927645FFE7}" name="EB Units_x000a_(KVAH)" dataDxfId="37"/>
    <tableColumn id="21" xr3:uid="{DA102713-EFB1-404F-B597-4D0805B35331}" name="TOD-Peak_x000a_(KVAH)" dataDxfId="36"/>
    <tableColumn id="20" xr3:uid="{48BBE8E5-BE0F-4FE7-B8E0-E4ECF4752EDF}" name="TOD-Insentive_x000a_(KVAH)" dataDxfId="35"/>
    <tableColumn id="22" xr3:uid="{D8E32F3D-732D-4FBD-BB7D-DB7907A7A65F}" name="Wheeling /CSS/AS" dataDxfId="34"/>
    <tableColumn id="13" xr3:uid="{4412999B-968D-43B1-AAF3-98ED634572F9}" name="FSA/FPPCA/Other_x000a_Charges" dataDxfId="33"/>
    <tableColumn id="5" xr3:uid="{E8F64E31-92BF-456E-856F-99B73C51116E}" name="EB Value Total (Rs.)" dataDxfId="32"/>
    <tableColumn id="14" xr3:uid="{EC29E579-14B8-4D49-81C1-A64AD5EFEFFE}" name="OA Issued_x000a_IEX (Kwh)" dataDxfId="31"/>
    <tableColumn id="6" xr3:uid="{5E3C12A8-53A2-4D02-96AA-D627F227B985}" name="OA Considered_x000a_IEX (Kwh)" dataDxfId="30"/>
    <tableColumn id="7" xr3:uid="{B03E3FED-10E2-45B2-AF0E-A00EB75C145F}" name="IEX-Value_x000a_(Rs.)" dataDxfId="29"/>
    <tableColumn id="8" xr3:uid="{6FFD1712-0F4F-45BC-9F69-9C8B2A18D121}" name="OA Unit-LTPPA_x000a_(KWh)" dataDxfId="28"/>
    <tableColumn id="9" xr3:uid="{1B96DCF6-8CB0-463A-B9B7-763B3F3AE245}" name="LTPPA-Value_x000a_(Rs.)" dataDxfId="27"/>
    <tableColumn id="10" xr3:uid="{D1CE04B6-ABB4-48EE-BA7A-257078D177F1}" name="Solar-Rooftop_x000a_(KWh)" dataDxfId="26"/>
    <tableColumn id="11" xr3:uid="{86DFBA1E-A8C6-41A0-B594-987249A4F941}" name="DG Units_x000a_(Kwh)" dataDxfId="25"/>
    <tableColumn id="12" xr3:uid="{DCEAA78D-E6EA-400D-825F-8721E7FA71A9}" name="Total Unts" dataDxfId="24">
      <calculatedColumnFormula>Table22[[#This Row],[EB Units
(KVAH)]]+Table22[[#This Row],[OA Considered
IEX (Kwh)]]+Table22[[#This Row],[OA Unit-LTPPA
(KWh)]]+Table22[[#This Row],[Solar-Rooftop
(KWh)]]+Table22[[#This Row],[DG Units
(Kwh)]]</calculatedColumnFormula>
    </tableColumn>
    <tableColumn id="15" xr3:uid="{79988E73-DFFD-4614-BFDA-8FE13DBD4184}" name="Total Value" dataDxfId="23">
      <calculatedColumnFormula>Table22[[#This Row],[EB Value Total (Rs.)]]+Table22[[#This Row],[IEX-Value
(Rs.)]]+Table22[[#This Row],[LTPPA-Value
(Rs.)]]</calculatedColumnFormula>
    </tableColumn>
    <tableColumn id="16" xr3:uid="{660BA3D0-6E86-4596-92AD-0848CD05DDC5}" name="Avg. Rate/Kwh" totalsRowFunction="count" dataDxfId="22">
      <calculatedColumnFormula>IFERROR(Table22[[#This Row],[Total Value]]/(Table22[[#This Row],[EB Units
(KVAH)]]+Table22[[#This Row],[OA Considered
IEX (Kwh)]]+Table22[[#This Row],[OA Unit-LTPPA
(KWh)]]),"")</calculatedColumnFormula>
    </tableColumn>
    <tableColumn id="23" xr3:uid="{1FF55C43-EBEA-404A-BD76-938EDE8C2867}" name="Remarks_x000a_(ICD/ACD/Or any)" dataDxfId="21"/>
  </tableColumns>
  <tableStyleInfo name="TableStyleLight19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DB2B3C-D74F-44ED-BB1E-F578C6A32FE5}" name="Table2245" displayName="Table2245" ref="A2:Q29" headerRowDxfId="20" dataDxfId="18" totalsRowDxfId="17" headerRowBorderDxfId="19" headerRowCellStyle="Accent4">
  <tableColumns count="17">
    <tableColumn id="2" xr3:uid="{399C4D15-D598-47A2-822F-F134CE6FF4B5}" name="Month/Year" dataDxfId="16"/>
    <tableColumn id="1" xr3:uid="{7655565C-616D-4C0D-8655-38BE13C3EE2D}" name="Unit Name" totalsRowLabel="Total" dataDxfId="15"/>
    <tableColumn id="17" xr3:uid="{34FDBB6B-FEEA-4332-9C93-AE5A39F08D03}" name="CMD_x000a_(KVA)" dataDxfId="14"/>
    <tableColumn id="4" xr3:uid="{9DBB115A-FD34-4C72-8946-7FF93C489AA3}" name="RMD_x000a_(KVA)" dataDxfId="13"/>
    <tableColumn id="3" xr3:uid="{FC66D374-5602-4F06-ADB6-B9E92F3011DB}" name="EB Units_x000a_(KVAH)" dataDxfId="12"/>
    <tableColumn id="22" xr3:uid="{E17FE21A-37D8-4745-BB53-640D729658A1}" name="Wheeling /CSS/AS" dataDxfId="11"/>
    <tableColumn id="5" xr3:uid="{1092FF08-9D62-4C58-BE29-B00601DB551C}" name="EB Value Total (Rs.)" dataDxfId="10"/>
    <tableColumn id="6" xr3:uid="{B057F7CF-DD73-4180-9FDD-A9AF70A3853F}" name="OA Considered_x000a_IEX (Kwh)" dataDxfId="9"/>
    <tableColumn id="7" xr3:uid="{F15A7DE9-C43B-423F-AE75-3CF228FF47BA}" name="IEX-Value_x000a_(Rs.)" dataDxfId="8"/>
    <tableColumn id="8" xr3:uid="{00AE00C5-43AF-47D4-AF20-4A014FE1D572}" name="OA (NVNR SOLAR)  Unit-LTPPA_x000a_(KWh)" dataDxfId="7"/>
    <tableColumn id="9" xr3:uid="{0E703D26-F3DC-4052-9C1F-54AA10D0FD74}" name="LTPPA                  ( NVNR solar ) -Value_x000a_(Rs.)" dataDxfId="6"/>
    <tableColumn id="10" xr3:uid="{2DCA584D-920E-4712-8612-3EE48DDD5FAB}" name="Solar-Rooftop_x000a_(KWh)" dataDxfId="5"/>
    <tableColumn id="11" xr3:uid="{9B034074-31C9-4637-8154-016E299BFBD7}" name="DG Units_x000a_(Kwh)" dataDxfId="4"/>
    <tableColumn id="12" xr3:uid="{04131470-8400-4CF0-A480-51461D94FCC3}" name="Total Unts" dataDxfId="3">
      <calculatedColumnFormula>Table2245[[#This Row],[EB Units
(KVAH)]]+Table2245[[#This Row],[OA Considered
IEX (Kwh)]]+Table2245[[#This Row],[OA (NVNR SOLAR)  Unit-LTPPA
(KWh)]]+Table2245[[#This Row],[Solar-Rooftop
(KWh)]]+Table2245[[#This Row],[DG Units
(Kwh)]]</calculatedColumnFormula>
    </tableColumn>
    <tableColumn id="15" xr3:uid="{9AE7F40C-3034-4A98-A9C9-DEB413910574}" name="Total Value" dataDxfId="2">
      <calculatedColumnFormula>Table2245[[#This Row],[EB Value Total (Rs.)]]+Table2245[[#This Row],[IEX-Value
(Rs.)]]+Table2245[[#This Row],[LTPPA                  ( NVNR solar ) -Value
(Rs.)]]</calculatedColumnFormula>
    </tableColumn>
    <tableColumn id="16" xr3:uid="{87604D57-4BD1-4110-97F4-C6C7708199A4}" name="Avg. Rate/Kwh" totalsRowFunction="count" dataDxfId="1">
      <calculatedColumnFormula>IFERROR(Table2245[[#This Row],[Total Value]]/(Table2245[[#This Row],[EB Units
(KVAH)]]+Table2245[[#This Row],[OA Considered
IEX (Kwh)]]+Table2245[[#This Row],[OA (NVNR SOLAR)  Unit-LTPPA
(KWh)]]),"")</calculatedColumnFormula>
    </tableColumn>
    <tableColumn id="23" xr3:uid="{88E712EF-FFA6-4E13-BE02-B028359B8835}" name="Remarks_x000a_(ICD/ACD/Or any)" dataDxfId="0"/>
  </tableColumns>
  <tableStyleInfo name="TableStyleLight19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69D566-2913-47DC-94F5-A354B896E0B3}" name="Table27" displayName="Table27" ref="A1:R28" headerRowDxfId="193" dataDxfId="191" totalsRowDxfId="190" headerRowBorderDxfId="192" headerRowCellStyle="Accent4">
  <tableColumns count="18">
    <tableColumn id="2" xr3:uid="{B425CC6F-9FC1-413E-ABB9-2C7AB7C456C2}" name="Month/Year" dataDxfId="189"/>
    <tableColumn id="1" xr3:uid="{6BFC59F2-3043-4566-B796-8BF8D3C2A8E1}" name="Unit Name" totalsRowLabel="Total" dataDxfId="188"/>
    <tableColumn id="17" xr3:uid="{65C0C401-75D9-4558-9241-50512FE398FB}" name="CMD_x000a_(KVA)" dataDxfId="187"/>
    <tableColumn id="4" xr3:uid="{A2328EAA-7F84-4FB9-920C-932C9FE5CADB}" name="RMD_x000a_(KVA)" dataDxfId="186"/>
    <tableColumn id="3" xr3:uid="{747607F7-E39F-40F4-A69E-4A82F1355FCF}" name="EB Units_x000a_(KVAH)" dataDxfId="185"/>
    <tableColumn id="22" xr3:uid="{A12F0D1B-9174-4E0B-9E30-D4A0E9FF7C89}" name="Wheeling /CSS/AS" dataDxfId="184"/>
    <tableColumn id="5" xr3:uid="{871A2EF9-6E5A-4286-9A0B-F485595642C4}" name="EB Value Total (Rs.)" dataDxfId="183"/>
    <tableColumn id="14" xr3:uid="{4F23A1C3-816C-4ADA-B5A6-B511AD25FB46}" name="OA Issued_x000a_IEX (Kwh)" dataDxfId="182"/>
    <tableColumn id="6" xr3:uid="{18D48918-5B05-4E98-9DA0-2265785D5CC1}" name="OA Considered_x000a_IEX (Kwh)" dataDxfId="181"/>
    <tableColumn id="7" xr3:uid="{71582F67-D1A5-4EF4-97FA-11AE0069A400}" name="IEX-Value_x000a_(Rs.)" dataDxfId="180"/>
    <tableColumn id="8" xr3:uid="{A4A1534A-97FF-4AAD-B0DA-DE7C33F73800}" name="OA Unit-LTPPA_x000a_(KWh)" dataDxfId="179"/>
    <tableColumn id="9" xr3:uid="{3F9B4E27-033F-4A79-913D-CD2E135F99CE}" name="LTPPA-Value_x000a_(Rs.)" dataDxfId="178"/>
    <tableColumn id="10" xr3:uid="{95D238B6-0D12-4BA7-8832-E3E965BF6BCD}" name="Solar-Rooftop_x000a_(KWh)" dataDxfId="177"/>
    <tableColumn id="11" xr3:uid="{93821145-FA32-4119-8F71-4DD1BEF03F2C}" name="DG Units_x000a_(Kwh)" dataDxfId="176"/>
    <tableColumn id="12" xr3:uid="{24EC2729-1144-4881-9BAB-42C55C1AC4A3}" name="Total Unts" dataDxfId="175">
      <calculatedColumnFormula>Table27[[#This Row],[EB Units
(KVAH)]]+Table27[[#This Row],[OA Considered
IEX (Kwh)]]+Table27[[#This Row],[OA Unit-LTPPA
(KWh)]]+Table27[[#This Row],[Solar-Rooftop
(KWh)]]+Table27[[#This Row],[DG Units
(Kwh)]]</calculatedColumnFormula>
    </tableColumn>
    <tableColumn id="15" xr3:uid="{C6098324-A922-45F6-82EB-8CDCAD25CE82}" name="Total Value" dataDxfId="174">
      <calculatedColumnFormula>Table27[[#This Row],[EB Value Total (Rs.)]]+Table27[[#This Row],[IEX-Value
(Rs.)]]+Table27[[#This Row],[LTPPA-Value
(Rs.)]]</calculatedColumnFormula>
    </tableColumn>
    <tableColumn id="16" xr3:uid="{0CAFB8AF-40CC-4F55-BABD-E376AD60740E}" name="Avg. Rate/Kwh" totalsRowFunction="count" dataDxfId="173">
      <calculatedColumnFormula>IFERROR(Table27[[#This Row],[Total Value]]/(Table27[[#This Row],[EB Units
(KVAH)]]+Table27[[#This Row],[OA Considered
IEX (Kwh)]]+Table27[[#This Row],[OA Unit-LTPPA
(KWh)]]),"")</calculatedColumnFormula>
    </tableColumn>
    <tableColumn id="23" xr3:uid="{F96F5B9D-7372-40E0-B423-EC82245BF887}" name="Remarks_x000a_(ICD/ACD/Or any)" dataDxfId="172"/>
  </tableColumns>
  <tableStyleInfo name="TableStyleLight19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06-26T10:30:47.68" personId="{0B75EE95-58D2-46C3-98A7-AFCB772A6E7B}" id="{3D29E109-1B9A-4A70-B698-6947A82F2AEF}">
    <text>NVNR SOLAR POWER-1</text>
  </threadedComment>
  <threadedComment ref="L1" dT="2025-06-26T10:31:25.44" personId="{0B75EE95-58D2-46C3-98A7-AFCB772A6E7B}" id="{2DACFC22-6FDE-4C16-8DE4-D9F9101C278D}">
    <text>NVNR SOLAR POWER-1 VALUE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showGridLines="0" topLeftCell="F1" workbookViewId="0">
      <pane ySplit="1" topLeftCell="A2" activePane="bottomLeft" state="frozen"/>
      <selection pane="bottomLeft" activeCell="G23" sqref="G23"/>
    </sheetView>
  </sheetViews>
  <sheetFormatPr defaultColWidth="8.81640625" defaultRowHeight="14.5" x14ac:dyDescent="0.35"/>
  <cols>
    <col min="1" max="1" width="12.453125" style="3" customWidth="1"/>
    <col min="2" max="2" width="12.54296875" style="3" customWidth="1"/>
    <col min="3" max="4" width="8.81640625" style="3"/>
    <col min="5" max="5" width="9.54296875" style="3" customWidth="1"/>
    <col min="6" max="6" width="10.1796875" style="3" customWidth="1"/>
    <col min="7" max="7" width="8.81640625" style="3"/>
    <col min="8" max="8" width="13.453125" style="3" customWidth="1"/>
    <col min="9" max="9" width="11.1796875" style="3" customWidth="1"/>
    <col min="10" max="11" width="12.453125" style="3" customWidth="1"/>
    <col min="12" max="12" width="15.81640625" style="3" customWidth="1"/>
    <col min="13" max="13" width="12" style="3" customWidth="1"/>
    <col min="14" max="14" width="12.453125" style="3" bestFit="1" customWidth="1"/>
    <col min="15" max="15" width="14.1796875" style="3" customWidth="1"/>
    <col min="16" max="16" width="11.7265625" style="3" customWidth="1"/>
    <col min="17" max="17" width="14.453125" style="3" customWidth="1"/>
    <col min="18" max="19" width="10.1796875" style="3" customWidth="1"/>
    <col min="20" max="20" width="8.81640625" style="3"/>
    <col min="21" max="21" width="15.1796875" style="3" customWidth="1"/>
    <col min="22" max="22" width="13.7265625" style="3" customWidth="1"/>
    <col min="23" max="23" width="8.81640625" style="3"/>
    <col min="24" max="24" width="14.453125" style="3" customWidth="1"/>
    <col min="25" max="16384" width="8.81640625" style="3"/>
  </cols>
  <sheetData>
    <row r="1" spans="1:23" ht="43.5" x14ac:dyDescent="0.35">
      <c r="A1" s="1" t="s">
        <v>1</v>
      </c>
      <c r="B1" s="1" t="s">
        <v>2</v>
      </c>
      <c r="C1" s="2" t="s">
        <v>11</v>
      </c>
      <c r="D1" s="2" t="s">
        <v>10</v>
      </c>
      <c r="E1" s="2" t="s">
        <v>12</v>
      </c>
      <c r="F1" s="2" t="s">
        <v>13</v>
      </c>
      <c r="G1" s="2" t="s">
        <v>16</v>
      </c>
      <c r="H1" s="2" t="s">
        <v>15</v>
      </c>
      <c r="I1" s="2" t="s">
        <v>14</v>
      </c>
      <c r="J1" s="2" t="s">
        <v>17</v>
      </c>
      <c r="K1" s="2" t="s">
        <v>4</v>
      </c>
      <c r="L1" s="2" t="s">
        <v>18</v>
      </c>
      <c r="M1" s="2" t="s">
        <v>9</v>
      </c>
      <c r="N1" s="2" t="s">
        <v>8</v>
      </c>
      <c r="O1" s="2" t="s">
        <v>7</v>
      </c>
      <c r="P1" s="2" t="s">
        <v>19</v>
      </c>
      <c r="Q1" s="2" t="s">
        <v>20</v>
      </c>
      <c r="R1" s="2" t="s">
        <v>5</v>
      </c>
      <c r="S1" s="2" t="s">
        <v>6</v>
      </c>
      <c r="T1" s="1" t="s">
        <v>0</v>
      </c>
      <c r="U1" s="1" t="s">
        <v>3</v>
      </c>
      <c r="V1" s="1" t="s">
        <v>22</v>
      </c>
      <c r="W1" s="2" t="s">
        <v>21</v>
      </c>
    </row>
    <row r="2" spans="1:23" x14ac:dyDescent="0.35">
      <c r="A2" s="4">
        <v>45383</v>
      </c>
      <c r="B2" s="3" t="s">
        <v>23</v>
      </c>
      <c r="C2" s="3">
        <v>4500</v>
      </c>
      <c r="D2" s="3">
        <v>4630</v>
      </c>
      <c r="E2">
        <f>IF(Table2[[#This Row],[RMD
(KVA)]]&gt;Table2[[#This Row],[CMD
(KVA)]],Table2[[#This Row],[RMD
(KVA)]]-Table2[[#This Row],[CMD
(KVA)]],"")</f>
        <v>130</v>
      </c>
      <c r="G2" s="3">
        <v>2596800</v>
      </c>
      <c r="H2" s="3">
        <v>858900</v>
      </c>
      <c r="I2" s="3">
        <v>1187100</v>
      </c>
      <c r="J2" s="3">
        <v>0</v>
      </c>
      <c r="K2" s="3">
        <v>930800</v>
      </c>
      <c r="L2" s="3">
        <v>17472399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15682</v>
      </c>
      <c r="T2">
        <f>Table2[[#This Row],[EB Units
(KVAH)]]+Table2[[#This Row],[OA Considered
IEX (Kwh)]]+Table2[[#This Row],[OA Unit-LTPPA
(KWh)]]+Table2[[#This Row],[Solar-Rooftop
(KWh)]]+Table2[[#This Row],[DG Units
(Kwh)]]</f>
        <v>2612482</v>
      </c>
      <c r="U2">
        <f>Table2[[#This Row],[EB Value Total (Rs.)]]+Table2[[#This Row],[IEX-Value
(Rs.)]]+Table2[[#This Row],[LTPPA-Value
(Rs.)]]</f>
        <v>17472399</v>
      </c>
      <c r="V2" s="5">
        <f>IFERROR(Table2[[#This Row],[Total Value]]/(Table2[[#This Row],[EB Units
(KVAH)]]+Table2[[#This Row],[OA Considered
IEX (Kwh)]]+Table2[[#This Row],[OA Unit-LTPPA
(KWh)]]),"")</f>
        <v>6.728434611829945</v>
      </c>
      <c r="W2" s="3">
        <v>1467015</v>
      </c>
    </row>
    <row r="3" spans="1:23" x14ac:dyDescent="0.35">
      <c r="A3" s="4">
        <v>45413</v>
      </c>
      <c r="B3" s="3" t="s">
        <v>23</v>
      </c>
      <c r="C3" s="3">
        <v>4500</v>
      </c>
      <c r="D3" s="3">
        <v>4480</v>
      </c>
      <c r="E3" t="str">
        <f>IF(Table2[[#This Row],[RMD
(KVA)]]&gt;Table2[[#This Row],[CMD
(KVA)]],Table2[[#This Row],[RMD
(KVA)]]-Table2[[#This Row],[CMD
(KVA)]],"")</f>
        <v/>
      </c>
      <c r="G3" s="3">
        <v>2511400</v>
      </c>
      <c r="H3" s="3">
        <v>846000</v>
      </c>
      <c r="I3" s="3">
        <v>1130700</v>
      </c>
      <c r="J3" s="3">
        <v>0</v>
      </c>
      <c r="K3" s="3">
        <v>1038720</v>
      </c>
      <c r="L3" s="3">
        <v>18432589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82911</v>
      </c>
      <c r="T3">
        <f>Table2[[#This Row],[EB Units
(KVAH)]]+Table2[[#This Row],[OA Considered
IEX (Kwh)]]+Table2[[#This Row],[OA Unit-LTPPA
(KWh)]]+Table2[[#This Row],[Solar-Rooftop
(KWh)]]+Table2[[#This Row],[DG Units
(Kwh)]]</f>
        <v>2594311</v>
      </c>
      <c r="U3">
        <f>Table2[[#This Row],[EB Value Total (Rs.)]]+Table2[[#This Row],[IEX-Value
(Rs.)]]+Table2[[#This Row],[LTPPA-Value
(Rs.)]]</f>
        <v>18432589</v>
      </c>
      <c r="V3" s="5">
        <f>IFERROR(Table2[[#This Row],[Total Value]]/(Table2[[#This Row],[EB Units
(KVAH)]]+Table2[[#This Row],[OA Considered
IEX (Kwh)]]+Table2[[#This Row],[OA Unit-LTPPA
(KWh)]]),"")</f>
        <v>7.3395671736879828</v>
      </c>
      <c r="W3" s="3">
        <v>0</v>
      </c>
    </row>
    <row r="4" spans="1:23" x14ac:dyDescent="0.35">
      <c r="A4" s="4">
        <v>45444</v>
      </c>
      <c r="B4" s="3" t="s">
        <v>23</v>
      </c>
      <c r="C4" s="3">
        <v>4500</v>
      </c>
      <c r="D4" s="3">
        <v>4530</v>
      </c>
      <c r="E4">
        <f>IF(Table2[[#This Row],[RMD
(KVA)]]&gt;Table2[[#This Row],[CMD
(KVA)]],Table2[[#This Row],[RMD
(KVA)]]-Table2[[#This Row],[CMD
(KVA)]],"")</f>
        <v>30</v>
      </c>
      <c r="G4" s="3">
        <v>2501400</v>
      </c>
      <c r="H4" s="3">
        <v>840600</v>
      </c>
      <c r="I4" s="3">
        <v>1130700</v>
      </c>
      <c r="J4" s="3">
        <v>0</v>
      </c>
      <c r="K4" s="3">
        <v>1004560</v>
      </c>
      <c r="L4" s="3">
        <v>17949000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54302</v>
      </c>
      <c r="S4" s="3">
        <v>69994</v>
      </c>
      <c r="T4">
        <f>Table2[[#This Row],[EB Units
(KVAH)]]+Table2[[#This Row],[OA Considered
IEX (Kwh)]]+Table2[[#This Row],[OA Unit-LTPPA
(KWh)]]+Table2[[#This Row],[Solar-Rooftop
(KWh)]]+Table2[[#This Row],[DG Units
(Kwh)]]</f>
        <v>2625696</v>
      </c>
      <c r="U4">
        <f>Table2[[#This Row],[EB Value Total (Rs.)]]+Table2[[#This Row],[IEX-Value
(Rs.)]]+Table2[[#This Row],[LTPPA-Value
(Rs.)]]</f>
        <v>17949000</v>
      </c>
      <c r="V4" s="5">
        <f>IFERROR(Table2[[#This Row],[Total Value]]/(Table2[[#This Row],[EB Units
(KVAH)]]+Table2[[#This Row],[OA Considered
IEX (Kwh)]]+Table2[[#This Row],[OA Unit-LTPPA
(KWh)]]),"")</f>
        <v>7.1755816742624132</v>
      </c>
      <c r="W4" s="3">
        <v>0</v>
      </c>
    </row>
    <row r="5" spans="1:23" x14ac:dyDescent="0.35">
      <c r="A5" s="4">
        <v>45474</v>
      </c>
      <c r="B5" s="3" t="s">
        <v>23</v>
      </c>
      <c r="C5" s="3">
        <v>4500</v>
      </c>
      <c r="D5" s="3">
        <v>4350</v>
      </c>
      <c r="E5" t="str">
        <f>IF(Table2[[#This Row],[RMD
(KVA)]]&gt;Table2[[#This Row],[CMD
(KVA)]],Table2[[#This Row],[RMD
(KVA)]]-Table2[[#This Row],[CMD
(KVA)]],"")</f>
        <v/>
      </c>
      <c r="G5" s="3">
        <v>2610100</v>
      </c>
      <c r="H5" s="3">
        <v>873600</v>
      </c>
      <c r="I5" s="3">
        <v>1178800</v>
      </c>
      <c r="J5" s="3">
        <v>0</v>
      </c>
      <c r="K5" s="3">
        <v>1000560</v>
      </c>
      <c r="L5" s="3">
        <v>18484520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92465</v>
      </c>
      <c r="S5" s="3">
        <v>48533</v>
      </c>
      <c r="T5">
        <f>Table2[[#This Row],[EB Units
(KVAH)]]+Table2[[#This Row],[OA Considered
IEX (Kwh)]]+Table2[[#This Row],[OA Unit-LTPPA
(KWh)]]+Table2[[#This Row],[Solar-Rooftop
(KWh)]]+Table2[[#This Row],[DG Units
(Kwh)]]</f>
        <v>2751098</v>
      </c>
      <c r="U5">
        <f>Table2[[#This Row],[EB Value Total (Rs.)]]+Table2[[#This Row],[IEX-Value
(Rs.)]]+Table2[[#This Row],[LTPPA-Value
(Rs.)]]</f>
        <v>18484520</v>
      </c>
      <c r="V5" s="5">
        <f>IFERROR(Table2[[#This Row],[Total Value]]/(Table2[[#This Row],[EB Units
(KVAH)]]+Table2[[#This Row],[OA Considered
IEX (Kwh)]]+Table2[[#This Row],[OA Unit-LTPPA
(KWh)]]),"")</f>
        <v>7.0819202329412665</v>
      </c>
      <c r="W5" s="3">
        <v>0</v>
      </c>
    </row>
    <row r="6" spans="1:23" x14ac:dyDescent="0.35">
      <c r="A6" s="4">
        <v>45505</v>
      </c>
      <c r="B6" s="3" t="s">
        <v>23</v>
      </c>
      <c r="C6" s="3">
        <v>4500</v>
      </c>
      <c r="D6" s="3">
        <v>4290</v>
      </c>
      <c r="E6" t="str">
        <f>IF(Table2[[#This Row],[RMD
(KVA)]]&gt;Table2[[#This Row],[CMD
(KVA)]],Table2[[#This Row],[RMD
(KVA)]]-Table2[[#This Row],[CMD
(KVA)]],"")</f>
        <v/>
      </c>
      <c r="G6" s="3">
        <v>2550700</v>
      </c>
      <c r="H6" s="3">
        <v>854200</v>
      </c>
      <c r="I6" s="3">
        <v>1129180</v>
      </c>
      <c r="J6" s="3">
        <v>0</v>
      </c>
      <c r="K6" s="3">
        <v>1044040</v>
      </c>
      <c r="L6" s="3">
        <v>18166088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107687</v>
      </c>
      <c r="S6" s="3">
        <v>80407</v>
      </c>
      <c r="T6">
        <f>Table2[[#This Row],[EB Units
(KVAH)]]+Table2[[#This Row],[OA Considered
IEX (Kwh)]]+Table2[[#This Row],[OA Unit-LTPPA
(KWh)]]+Table2[[#This Row],[Solar-Rooftop
(KWh)]]+Table2[[#This Row],[DG Units
(Kwh)]]</f>
        <v>2738794</v>
      </c>
      <c r="U6">
        <f>Table2[[#This Row],[EB Value Total (Rs.)]]+Table2[[#This Row],[IEX-Value
(Rs.)]]+Table2[[#This Row],[LTPPA-Value
(Rs.)]]</f>
        <v>18166088</v>
      </c>
      <c r="V6" s="5">
        <f>IFERROR(Table2[[#This Row],[Total Value]]/(Table2[[#This Row],[EB Units
(KVAH)]]+Table2[[#This Row],[OA Considered
IEX (Kwh)]]+Table2[[#This Row],[OA Unit-LTPPA
(KWh)]]),"")</f>
        <v>7.1220010193280272</v>
      </c>
      <c r="W6" s="3">
        <v>0</v>
      </c>
    </row>
    <row r="7" spans="1:23" x14ac:dyDescent="0.35">
      <c r="A7" s="4">
        <v>45536</v>
      </c>
      <c r="B7" s="3" t="s">
        <v>23</v>
      </c>
      <c r="C7" s="3">
        <v>4500</v>
      </c>
      <c r="D7" s="3">
        <v>4261.1000000000004</v>
      </c>
      <c r="E7" t="str">
        <f>IF(Table2[[#This Row],[RMD
(KVA)]]&gt;Table2[[#This Row],[CMD
(KVA)]],Table2[[#This Row],[RMD
(KVA)]]-Table2[[#This Row],[CMD
(KVA)]],"")</f>
        <v/>
      </c>
      <c r="G7" s="3">
        <v>2377900</v>
      </c>
      <c r="H7" s="3">
        <v>788600</v>
      </c>
      <c r="I7" s="3">
        <v>1078000</v>
      </c>
      <c r="J7" s="3">
        <v>0</v>
      </c>
      <c r="K7" s="3">
        <v>1020280</v>
      </c>
      <c r="L7" s="3">
        <v>17474737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102517</v>
      </c>
      <c r="S7" s="3">
        <v>25157</v>
      </c>
      <c r="T7">
        <f>Table2[[#This Row],[EB Units
(KVAH)]]+Table2[[#This Row],[OA Considered
IEX (Kwh)]]+Table2[[#This Row],[OA Unit-LTPPA
(KWh)]]+Table2[[#This Row],[Solar-Rooftop
(KWh)]]+Table2[[#This Row],[DG Units
(Kwh)]]</f>
        <v>2505574</v>
      </c>
      <c r="U7">
        <f>Table2[[#This Row],[EB Value Total (Rs.)]]+Table2[[#This Row],[IEX-Value
(Rs.)]]+Table2[[#This Row],[LTPPA-Value
(Rs.)]]</f>
        <v>17474737</v>
      </c>
      <c r="V7" s="5">
        <f>IFERROR(Table2[[#This Row],[Total Value]]/(Table2[[#This Row],[EB Units
(KVAH)]]+Table2[[#This Row],[OA Considered
IEX (Kwh)]]+Table2[[#This Row],[OA Unit-LTPPA
(KWh)]]),"")</f>
        <v>7.3488107153370619</v>
      </c>
      <c r="W7" s="3">
        <v>0</v>
      </c>
    </row>
    <row r="8" spans="1:23" x14ac:dyDescent="0.35">
      <c r="A8" s="4">
        <v>45566</v>
      </c>
      <c r="B8" s="3" t="s">
        <v>23</v>
      </c>
      <c r="C8" s="3">
        <v>4500</v>
      </c>
      <c r="D8" s="3">
        <v>4382.1000000000004</v>
      </c>
      <c r="E8" t="str">
        <f>IF(Table2[[#This Row],[RMD
(KVA)]]&gt;Table2[[#This Row],[CMD
(KVA)]],Table2[[#This Row],[RMD
(KVA)]]-Table2[[#This Row],[CMD
(KVA)]],"")</f>
        <v/>
      </c>
      <c r="G8" s="3">
        <v>2468700</v>
      </c>
      <c r="H8" s="3">
        <v>821700</v>
      </c>
      <c r="I8" s="3">
        <v>1101700</v>
      </c>
      <c r="J8" s="3">
        <v>0</v>
      </c>
      <c r="K8" s="3">
        <v>951160</v>
      </c>
      <c r="L8" s="3">
        <v>18031319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120493</v>
      </c>
      <c r="S8" s="3">
        <v>66579</v>
      </c>
      <c r="T8">
        <f>Table2[[#This Row],[EB Units
(KVAH)]]+Table2[[#This Row],[OA Considered
IEX (Kwh)]]+Table2[[#This Row],[OA Unit-LTPPA
(KWh)]]+Table2[[#This Row],[Solar-Rooftop
(KWh)]]+Table2[[#This Row],[DG Units
(Kwh)]]</f>
        <v>2655772</v>
      </c>
      <c r="U8">
        <f>Table2[[#This Row],[EB Value Total (Rs.)]]+Table2[[#This Row],[IEX-Value
(Rs.)]]+Table2[[#This Row],[LTPPA-Value
(Rs.)]]</f>
        <v>18031319</v>
      </c>
      <c r="V8" s="5">
        <f>IFERROR(Table2[[#This Row],[Total Value]]/(Table2[[#This Row],[EB Units
(KVAH)]]+Table2[[#This Row],[OA Considered
IEX (Kwh)]]+Table2[[#This Row],[OA Unit-LTPPA
(KWh)]]),"")</f>
        <v>7.3039733462956216</v>
      </c>
      <c r="W8" s="3">
        <v>0</v>
      </c>
    </row>
    <row r="9" spans="1:23" x14ac:dyDescent="0.35">
      <c r="A9" s="4">
        <v>45597</v>
      </c>
      <c r="B9" s="3" t="s">
        <v>23</v>
      </c>
      <c r="C9" s="3">
        <v>4500</v>
      </c>
      <c r="D9" s="3">
        <v>4391.8999999999996</v>
      </c>
      <c r="E9" t="str">
        <f>IF(Table2[[#This Row],[RMD
(KVA)]]&gt;Table2[[#This Row],[CMD
(KVA)]],Table2[[#This Row],[RMD
(KVA)]]-Table2[[#This Row],[CMD
(KVA)]],"")</f>
        <v/>
      </c>
      <c r="G9" s="3">
        <v>2330100</v>
      </c>
      <c r="H9" s="3">
        <v>780200</v>
      </c>
      <c r="I9" s="3">
        <v>1035200</v>
      </c>
      <c r="J9" s="3">
        <v>0</v>
      </c>
      <c r="K9" s="3">
        <v>1757823.6</v>
      </c>
      <c r="L9" s="3">
        <v>17621216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110114</v>
      </c>
      <c r="S9" s="3">
        <v>24173</v>
      </c>
      <c r="T9">
        <f>Table2[[#This Row],[EB Units
(KVAH)]]+Table2[[#This Row],[OA Considered
IEX (Kwh)]]+Table2[[#This Row],[OA Unit-LTPPA
(KWh)]]+Table2[[#This Row],[Solar-Rooftop
(KWh)]]+Table2[[#This Row],[DG Units
(Kwh)]]</f>
        <v>2464387</v>
      </c>
      <c r="U9">
        <f>Table2[[#This Row],[EB Value Total (Rs.)]]+Table2[[#This Row],[IEX-Value
(Rs.)]]+Table2[[#This Row],[LTPPA-Value
(Rs.)]]</f>
        <v>17621216</v>
      </c>
      <c r="V9" s="5">
        <f>IFERROR(Table2[[#This Row],[Total Value]]/(Table2[[#This Row],[EB Units
(KVAH)]]+Table2[[#This Row],[OA Considered
IEX (Kwh)]]+Table2[[#This Row],[OA Unit-LTPPA
(KWh)]]),"")</f>
        <v>7.5624290802969831</v>
      </c>
      <c r="W9" s="3">
        <v>0</v>
      </c>
    </row>
    <row r="10" spans="1:23" x14ac:dyDescent="0.35">
      <c r="A10" s="4">
        <v>45627</v>
      </c>
      <c r="B10" s="3" t="s">
        <v>23</v>
      </c>
      <c r="C10" s="3">
        <v>4500</v>
      </c>
      <c r="D10" s="3">
        <v>4301.1000000000004</v>
      </c>
      <c r="E10" t="str">
        <f>IF(Table2[[#This Row],[RMD
(KVA)]]&gt;Table2[[#This Row],[CMD
(KVA)]],Table2[[#This Row],[RMD
(KVA)]]-Table2[[#This Row],[CMD
(KVA)]],"")</f>
        <v/>
      </c>
      <c r="G10" s="3">
        <v>2538800</v>
      </c>
      <c r="H10" s="3">
        <v>855200</v>
      </c>
      <c r="I10" s="3">
        <v>1139400</v>
      </c>
      <c r="J10" s="3">
        <v>0</v>
      </c>
      <c r="K10" s="3">
        <v>2527169.2799999998</v>
      </c>
      <c r="L10" s="3">
        <v>19595918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86997</v>
      </c>
      <c r="S10" s="3">
        <v>21429</v>
      </c>
      <c r="T10">
        <f>Table2[[#This Row],[EB Units
(KVAH)]]+Table2[[#This Row],[OA Considered
IEX (Kwh)]]+Table2[[#This Row],[OA Unit-LTPPA
(KWh)]]+Table2[[#This Row],[Solar-Rooftop
(KWh)]]+Table2[[#This Row],[DG Units
(Kwh)]]</f>
        <v>2647226</v>
      </c>
      <c r="U10">
        <f>Table2[[#This Row],[EB Value Total (Rs.)]]+Table2[[#This Row],[IEX-Value
(Rs.)]]+Table2[[#This Row],[LTPPA-Value
(Rs.)]]</f>
        <v>19595918</v>
      </c>
      <c r="V10" s="5">
        <f>IFERROR(Table2[[#This Row],[Total Value]]/(Table2[[#This Row],[EB Units
(KVAH)]]+Table2[[#This Row],[OA Considered
IEX (Kwh)]]+Table2[[#This Row],[OA Unit-LTPPA
(KWh)]]),"")</f>
        <v>7.7185749172837559</v>
      </c>
      <c r="W10" s="3">
        <v>0</v>
      </c>
    </row>
    <row r="11" spans="1:23" x14ac:dyDescent="0.35">
      <c r="A11" s="4">
        <v>45658</v>
      </c>
      <c r="B11" s="3" t="s">
        <v>23</v>
      </c>
      <c r="C11" s="3">
        <v>4500</v>
      </c>
      <c r="D11" s="3">
        <v>4316</v>
      </c>
      <c r="E11" t="str">
        <f>IF(Table2[[#This Row],[RMD
(KVA)]]&gt;Table2[[#This Row],[CMD
(KVA)]],Table2[[#This Row],[RMD
(KVA)]]-Table2[[#This Row],[CMD
(KVA)]],"")</f>
        <v/>
      </c>
      <c r="G11" s="3">
        <v>2199100</v>
      </c>
      <c r="H11" s="3">
        <v>741800</v>
      </c>
      <c r="I11" s="3">
        <v>969600</v>
      </c>
      <c r="J11" s="3">
        <v>0</v>
      </c>
      <c r="K11" s="3">
        <v>2605733.56</v>
      </c>
      <c r="L11" s="3">
        <v>17670152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118325</v>
      </c>
      <c r="S11" s="3">
        <v>39957</v>
      </c>
      <c r="T11">
        <f>Table2[[#This Row],[EB Units
(KVAH)]]+Table2[[#This Row],[OA Considered
IEX (Kwh)]]+Table2[[#This Row],[OA Unit-LTPPA
(KWh)]]+Table2[[#This Row],[Solar-Rooftop
(KWh)]]+Table2[[#This Row],[DG Units
(Kwh)]]</f>
        <v>2357382</v>
      </c>
      <c r="U11">
        <f>Table2[[#This Row],[EB Value Total (Rs.)]]+Table2[[#This Row],[IEX-Value
(Rs.)]]+Table2[[#This Row],[LTPPA-Value
(Rs.)]]</f>
        <v>17670152</v>
      </c>
      <c r="V11" s="5">
        <f>IFERROR(Table2[[#This Row],[Total Value]]/(Table2[[#This Row],[EB Units
(KVAH)]]+Table2[[#This Row],[OA Considered
IEX (Kwh)]]+Table2[[#This Row],[OA Unit-LTPPA
(KWh)]]),"")</f>
        <v>8.0351743895229859</v>
      </c>
      <c r="W11" s="3">
        <v>0</v>
      </c>
    </row>
    <row r="12" spans="1:23" x14ac:dyDescent="0.35">
      <c r="A12" s="4">
        <v>45689</v>
      </c>
      <c r="B12" s="3" t="s">
        <v>23</v>
      </c>
      <c r="C12" s="3">
        <v>4500</v>
      </c>
      <c r="D12" s="3">
        <v>4169.5</v>
      </c>
      <c r="E12" t="str">
        <f>IF(Table2[[#This Row],[RMD
(KVA)]]&gt;Table2[[#This Row],[CMD
(KVA)]],Table2[[#This Row],[RMD
(KVA)]]-Table2[[#This Row],[CMD
(KVA)]],"")</f>
        <v/>
      </c>
      <c r="G12" s="3">
        <v>2177400</v>
      </c>
      <c r="H12" s="3">
        <v>735800</v>
      </c>
      <c r="I12" s="3">
        <v>977100</v>
      </c>
      <c r="J12" s="3">
        <v>0</v>
      </c>
      <c r="K12" s="3">
        <v>2816850.24</v>
      </c>
      <c r="L12" s="3">
        <v>18159677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113106</v>
      </c>
      <c r="S12" s="3">
        <v>47680</v>
      </c>
      <c r="T12">
        <f>Table2[[#This Row],[EB Units
(KVAH)]]+Table2[[#This Row],[OA Considered
IEX (Kwh)]]+Table2[[#This Row],[OA Unit-LTPPA
(KWh)]]+Table2[[#This Row],[Solar-Rooftop
(KWh)]]+Table2[[#This Row],[DG Units
(Kwh)]]</f>
        <v>2338186</v>
      </c>
      <c r="U12">
        <f>Table2[[#This Row],[EB Value Total (Rs.)]]+Table2[[#This Row],[IEX-Value
(Rs.)]]+Table2[[#This Row],[LTPPA-Value
(Rs.)]]</f>
        <v>18159677</v>
      </c>
      <c r="V12" s="5">
        <f>IFERROR(Table2[[#This Row],[Total Value]]/(Table2[[#This Row],[EB Units
(KVAH)]]+Table2[[#This Row],[OA Considered
IEX (Kwh)]]+Table2[[#This Row],[OA Unit-LTPPA
(KWh)]]),"")</f>
        <v>8.3400739413979981</v>
      </c>
      <c r="W12" s="3">
        <v>0</v>
      </c>
    </row>
    <row r="13" spans="1:23" x14ac:dyDescent="0.35">
      <c r="A13" s="4">
        <v>45717</v>
      </c>
      <c r="B13" s="3" t="s">
        <v>23</v>
      </c>
      <c r="C13" s="3">
        <v>4500</v>
      </c>
      <c r="D13" s="3">
        <v>4391.3</v>
      </c>
      <c r="E13" t="str">
        <f>IF(Table2[[#This Row],[RMD
(KVA)]]&gt;Table2[[#This Row],[CMD
(KVA)]],Table2[[#This Row],[RMD
(KVA)]]-Table2[[#This Row],[CMD
(KVA)]],"")</f>
        <v/>
      </c>
      <c r="G13" s="3">
        <v>2541900</v>
      </c>
      <c r="H13" s="3">
        <v>867700</v>
      </c>
      <c r="I13" s="3">
        <v>1124300</v>
      </c>
      <c r="J13" s="3">
        <v>0</v>
      </c>
      <c r="K13" s="3">
        <v>2875382.44</v>
      </c>
      <c r="L13" s="3">
        <v>20459367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143867</v>
      </c>
      <c r="S13" s="3">
        <v>23262</v>
      </c>
      <c r="T13">
        <f>Table2[[#This Row],[EB Units
(KVAH)]]+Table2[[#This Row],[OA Considered
IEX (Kwh)]]+Table2[[#This Row],[OA Unit-LTPPA
(KWh)]]+Table2[[#This Row],[Solar-Rooftop
(KWh)]]+Table2[[#This Row],[DG Units
(Kwh)]]</f>
        <v>2709029</v>
      </c>
      <c r="U13">
        <f>Table2[[#This Row],[EB Value Total (Rs.)]]+Table2[[#This Row],[IEX-Value
(Rs.)]]+Table2[[#This Row],[LTPPA-Value
(Rs.)]]</f>
        <v>20459367</v>
      </c>
      <c r="V13" s="5">
        <f>IFERROR(Table2[[#This Row],[Total Value]]/(Table2[[#This Row],[EB Units
(KVAH)]]+Table2[[#This Row],[OA Considered
IEX (Kwh)]]+Table2[[#This Row],[OA Unit-LTPPA
(KWh)]]),"")</f>
        <v>8.0488481057476697</v>
      </c>
      <c r="W13" s="3">
        <v>0</v>
      </c>
    </row>
    <row r="14" spans="1:23" x14ac:dyDescent="0.35">
      <c r="A14" s="4">
        <v>45748</v>
      </c>
      <c r="B14" s="3" t="s">
        <v>23</v>
      </c>
      <c r="C14" s="3">
        <v>4500</v>
      </c>
      <c r="D14" s="3">
        <v>4412.5</v>
      </c>
      <c r="E14" t="str">
        <f>IF(Table2[[#This Row],[RMD
(KVA)]]&gt;Table2[[#This Row],[CMD
(KVA)]],Table2[[#This Row],[RMD
(KVA)]]-Table2[[#This Row],[CMD
(KVA)]],"")</f>
        <v/>
      </c>
      <c r="G14" s="3">
        <v>2560900</v>
      </c>
      <c r="H14" s="3">
        <v>863000</v>
      </c>
      <c r="I14" s="3">
        <v>1157500</v>
      </c>
      <c r="J14" s="3">
        <v>0</v>
      </c>
      <c r="K14" s="3">
        <v>3154547.56</v>
      </c>
      <c r="L14" s="3">
        <v>18989015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134448</v>
      </c>
      <c r="S14" s="3">
        <v>91897</v>
      </c>
      <c r="T14">
        <f>Table2[[#This Row],[EB Units
(KVAH)]]+Table2[[#This Row],[OA Considered
IEX (Kwh)]]+Table2[[#This Row],[OA Unit-LTPPA
(KWh)]]+Table2[[#This Row],[Solar-Rooftop
(KWh)]]+Table2[[#This Row],[DG Units
(Kwh)]]</f>
        <v>2787245</v>
      </c>
      <c r="U14">
        <f>Table2[[#This Row],[EB Value Total (Rs.)]]+Table2[[#This Row],[IEX-Value
(Rs.)]]+Table2[[#This Row],[LTPPA-Value
(Rs.)]]</f>
        <v>18989015</v>
      </c>
      <c r="V14" s="5">
        <f>IFERROR(Table2[[#This Row],[Total Value]]/(Table2[[#This Row],[EB Units
(KVAH)]]+Table2[[#This Row],[OA Considered
IEX (Kwh)]]+Table2[[#This Row],[OA Unit-LTPPA
(KWh)]]),"")</f>
        <v>7.4149771564684288</v>
      </c>
      <c r="W14" s="3">
        <v>1840049</v>
      </c>
    </row>
    <row r="15" spans="1:23" x14ac:dyDescent="0.35">
      <c r="A15" s="4">
        <v>45778</v>
      </c>
      <c r="B15" s="3" t="s">
        <v>23</v>
      </c>
      <c r="C15" s="3">
        <v>4500</v>
      </c>
      <c r="D15" s="3">
        <v>4357.8999999999996</v>
      </c>
      <c r="E15" t="str">
        <f>IF(Table2[[#This Row],[RMD
(KVA)]]&gt;Table2[[#This Row],[CMD
(KVA)]],Table2[[#This Row],[RMD
(KVA)]]-Table2[[#This Row],[CMD
(KVA)]],"")</f>
        <v/>
      </c>
      <c r="G15" s="3">
        <v>2572900</v>
      </c>
      <c r="H15" s="3">
        <v>869000</v>
      </c>
      <c r="I15" s="3">
        <v>1156000</v>
      </c>
      <c r="J15" s="3">
        <v>0</v>
      </c>
      <c r="K15" s="3">
        <v>3306327.42</v>
      </c>
      <c r="L15" s="3">
        <v>21040972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113033</v>
      </c>
      <c r="S15" s="3">
        <v>88861</v>
      </c>
      <c r="T15">
        <f>Table2[[#This Row],[EB Units
(KVAH)]]+Table2[[#This Row],[OA Considered
IEX (Kwh)]]+Table2[[#This Row],[OA Unit-LTPPA
(KWh)]]+Table2[[#This Row],[Solar-Rooftop
(KWh)]]+Table2[[#This Row],[DG Units
(Kwh)]]</f>
        <v>2774794</v>
      </c>
      <c r="U15">
        <f>Table2[[#This Row],[EB Value Total (Rs.)]]+Table2[[#This Row],[IEX-Value
(Rs.)]]+Table2[[#This Row],[LTPPA-Value
(Rs.)]]</f>
        <v>21040972</v>
      </c>
      <c r="V15" s="5">
        <f>IFERROR(Table2[[#This Row],[Total Value]]/(Table2[[#This Row],[EB Units
(KVAH)]]+Table2[[#This Row],[OA Considered
IEX (Kwh)]]+Table2[[#This Row],[OA Unit-LTPPA
(KWh)]]),"")</f>
        <v>8.1779206343037032</v>
      </c>
      <c r="W15" s="3">
        <v>0</v>
      </c>
    </row>
    <row r="16" spans="1:23" x14ac:dyDescent="0.35">
      <c r="A16" s="4">
        <v>45809</v>
      </c>
      <c r="B16" s="3" t="s">
        <v>23</v>
      </c>
      <c r="C16" s="3">
        <v>4500</v>
      </c>
      <c r="D16" s="3">
        <v>4311.8999999999996</v>
      </c>
      <c r="E16" s="3" t="str">
        <f>IF(Table2[[#This Row],[RMD
(KVA)]]&gt;Table2[[#This Row],[CMD
(KVA)]],Table2[[#This Row],[RMD
(KVA)]]-Table2[[#This Row],[CMD
(KVA)]],"")</f>
        <v/>
      </c>
      <c r="G16" s="3">
        <v>2327100</v>
      </c>
      <c r="H16" s="3">
        <v>776500</v>
      </c>
      <c r="I16" s="3">
        <v>1041900</v>
      </c>
      <c r="J16" s="3">
        <v>0</v>
      </c>
      <c r="K16" s="3">
        <v>3280289.98</v>
      </c>
      <c r="L16" s="3">
        <v>19094783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96529.35</v>
      </c>
      <c r="S16" s="3">
        <v>164795</v>
      </c>
      <c r="T16" s="3">
        <f>Table2[[#This Row],[EB Units
(KVAH)]]+Table2[[#This Row],[OA Considered
IEX (Kwh)]]+Table2[[#This Row],[OA Unit-LTPPA
(KWh)]]+Table2[[#This Row],[Solar-Rooftop
(KWh)]]+Table2[[#This Row],[DG Units
(Kwh)]]</f>
        <v>2588424.35</v>
      </c>
      <c r="U16" s="3">
        <f>Table2[[#This Row],[EB Value Total (Rs.)]]+Table2[[#This Row],[IEX-Value
(Rs.)]]+Table2[[#This Row],[LTPPA-Value
(Rs.)]]</f>
        <v>19094783</v>
      </c>
      <c r="V16" s="6">
        <f>IFERROR(Table2[[#This Row],[Total Value]]/(Table2[[#This Row],[EB Units
(KVAH)]]+Table2[[#This Row],[OA Considered
IEX (Kwh)]]+Table2[[#This Row],[OA Unit-LTPPA
(KWh)]]),"")</f>
        <v>8.2053985647372265</v>
      </c>
      <c r="W16" s="3">
        <v>0</v>
      </c>
    </row>
    <row r="17" spans="1:23" x14ac:dyDescent="0.35">
      <c r="A17" s="4">
        <v>45839</v>
      </c>
      <c r="B17" s="3" t="s">
        <v>23</v>
      </c>
      <c r="C17" s="3">
        <v>5700</v>
      </c>
      <c r="D17" s="3">
        <v>4327</v>
      </c>
      <c r="E17" t="str">
        <f>IF(Table2[[#This Row],[RMD
(KVA)]]&gt;Table2[[#This Row],[CMD
(KVA)]],Table2[[#This Row],[RMD
(KVA)]]-Table2[[#This Row],[CMD
(KVA)]],"")</f>
        <v/>
      </c>
      <c r="G17" s="3">
        <v>2585700</v>
      </c>
      <c r="H17" s="3">
        <v>867100</v>
      </c>
      <c r="I17" s="3">
        <v>1167700</v>
      </c>
      <c r="J17" s="3">
        <v>0</v>
      </c>
      <c r="K17" s="3">
        <v>3324791.82</v>
      </c>
      <c r="L17" s="3">
        <v>20695607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104339</v>
      </c>
      <c r="S17" s="3">
        <v>43453</v>
      </c>
      <c r="T17">
        <f>Table2[[#This Row],[EB Units
(KVAH)]]+Table2[[#This Row],[OA Considered
IEX (Kwh)]]+Table2[[#This Row],[OA Unit-LTPPA
(KWh)]]+Table2[[#This Row],[Solar-Rooftop
(KWh)]]+Table2[[#This Row],[DG Units
(Kwh)]]</f>
        <v>2733492</v>
      </c>
      <c r="U17">
        <f>Table2[[#This Row],[EB Value Total (Rs.)]]+Table2[[#This Row],[IEX-Value
(Rs.)]]+Table2[[#This Row],[LTPPA-Value
(Rs.)]]</f>
        <v>20695607</v>
      </c>
      <c r="V17" s="5">
        <f>IFERROR(Table2[[#This Row],[Total Value]]/(Table2[[#This Row],[EB Units
(KVAH)]]+Table2[[#This Row],[OA Considered
IEX (Kwh)]]+Table2[[#This Row],[OA Unit-LTPPA
(KWh)]]),"")</f>
        <v>8.0038701318791823</v>
      </c>
      <c r="W17" s="3">
        <v>0</v>
      </c>
    </row>
    <row r="18" spans="1:23" x14ac:dyDescent="0.35">
      <c r="A18" s="4">
        <v>45870</v>
      </c>
      <c r="B18" s="3" t="s">
        <v>23</v>
      </c>
      <c r="C18" s="3">
        <v>5700</v>
      </c>
      <c r="D18" s="3">
        <v>4417</v>
      </c>
      <c r="E18" t="str">
        <f>IF(Table2[[#This Row],[RMD
(KVA)]]&gt;Table2[[#This Row],[CMD
(KVA)]],Table2[[#This Row],[RMD
(KVA)]]-Table2[[#This Row],[CMD
(KVA)]],"")</f>
        <v/>
      </c>
      <c r="G18" s="3">
        <v>2092961</v>
      </c>
      <c r="H18" s="3">
        <v>849900</v>
      </c>
      <c r="I18" s="3">
        <v>1148000</v>
      </c>
      <c r="J18" s="3">
        <v>0</v>
      </c>
      <c r="K18" s="3">
        <v>3257098.26</v>
      </c>
      <c r="L18" s="3">
        <v>18482459</v>
      </c>
      <c r="M18" s="3">
        <v>465389.99999999965</v>
      </c>
      <c r="N18" s="3">
        <v>457739</v>
      </c>
      <c r="O18" s="3">
        <v>2432120.9699999993</v>
      </c>
      <c r="P18" s="3">
        <v>0</v>
      </c>
      <c r="Q18" s="3">
        <v>0</v>
      </c>
      <c r="R18" s="3">
        <v>99821</v>
      </c>
      <c r="S18" s="3">
        <v>19613</v>
      </c>
      <c r="T18">
        <f>Table2[[#This Row],[EB Units
(KVAH)]]+Table2[[#This Row],[OA Considered
IEX (Kwh)]]+Table2[[#This Row],[OA Unit-LTPPA
(KWh)]]+Table2[[#This Row],[Solar-Rooftop
(KWh)]]+Table2[[#This Row],[DG Units
(Kwh)]]</f>
        <v>2670134</v>
      </c>
      <c r="U18">
        <f>Table2[[#This Row],[EB Value Total (Rs.)]]+Table2[[#This Row],[IEX-Value
(Rs.)]]+Table2[[#This Row],[LTPPA-Value
(Rs.)]]</f>
        <v>20914579.969999999</v>
      </c>
      <c r="V18" s="5">
        <f>IFERROR(Table2[[#This Row],[Total Value]]/(Table2[[#This Row],[EB Units
(KVAH)]]+Table2[[#This Row],[OA Considered
IEX (Kwh)]]+Table2[[#This Row],[OA Unit-LTPPA
(KWh)]]),"")</f>
        <v>8.1995452111185152</v>
      </c>
      <c r="W18" s="3">
        <v>0</v>
      </c>
    </row>
    <row r="19" spans="1:23" x14ac:dyDescent="0.35">
      <c r="A19" s="4">
        <v>45901</v>
      </c>
      <c r="B19" s="3" t="s">
        <v>23</v>
      </c>
      <c r="C19" s="3">
        <v>5700</v>
      </c>
      <c r="D19" s="3">
        <v>4461.7</v>
      </c>
      <c r="E19" s="3" t="str">
        <f>IF(Table2[[#This Row],[RMD
(KVA)]]&gt;Table2[[#This Row],[CMD
(KVA)]],Table2[[#This Row],[RMD
(KVA)]]-Table2[[#This Row],[CMD
(KVA)]],"")</f>
        <v/>
      </c>
      <c r="G19" s="3">
        <v>1844407</v>
      </c>
      <c r="H19" s="3">
        <v>857500</v>
      </c>
      <c r="I19" s="3">
        <v>1170500</v>
      </c>
      <c r="J19" s="3">
        <v>0</v>
      </c>
      <c r="K19" s="3">
        <v>2973350.48</v>
      </c>
      <c r="L19" s="3">
        <v>17383784</v>
      </c>
      <c r="M19" s="3">
        <v>742020.00000000023</v>
      </c>
      <c r="N19" s="3">
        <v>732393</v>
      </c>
      <c r="O19" s="3">
        <v>3922257.06</v>
      </c>
      <c r="P19" s="3">
        <v>0</v>
      </c>
      <c r="Q19" s="3">
        <v>0</v>
      </c>
      <c r="R19" s="3">
        <v>82047.179999999993</v>
      </c>
      <c r="S19" s="3">
        <v>22858</v>
      </c>
      <c r="T19" s="3">
        <v>2678405.1799999997</v>
      </c>
      <c r="U19" s="3">
        <f>Table2[[#This Row],[EB Value Total (Rs.)]]+Table2[[#This Row],[IEX-Value
(Rs.)]]+Table2[[#This Row],[LTPPA-Value
(Rs.)]]</f>
        <v>21306041.059999999</v>
      </c>
      <c r="V19" s="3">
        <f>IFERROR(Table2[[#This Row],[Total Value]]/(Table2[[#This Row],[EB Units
(KVAH)]]+Table2[[#This Row],[OA Considered
IEX (Kwh)]]+Table2[[#This Row],[OA Unit-LTPPA
(KWh)]]),"")</f>
        <v>8.2684108429059293</v>
      </c>
      <c r="W19" s="3">
        <v>0</v>
      </c>
    </row>
    <row r="20" spans="1:23" x14ac:dyDescent="0.35">
      <c r="A20" s="4">
        <v>45931</v>
      </c>
      <c r="B20" s="3" t="s">
        <v>23</v>
      </c>
      <c r="C20" s="3">
        <v>5700</v>
      </c>
      <c r="D20" s="3">
        <v>4215.8</v>
      </c>
      <c r="E20" s="3" t="str">
        <f>IF(Table2[[#This Row],[RMD
(KVA)]]&gt;Table2[[#This Row],[CMD
(KVA)]],Table2[[#This Row],[RMD
(KVA)]]-Table2[[#This Row],[CMD
(KVA)]],"")</f>
        <v/>
      </c>
      <c r="G20" s="3">
        <v>2343100</v>
      </c>
      <c r="H20" s="3">
        <v>818761.5</v>
      </c>
      <c r="I20" s="3">
        <v>614975</v>
      </c>
      <c r="J20" s="3">
        <v>0</v>
      </c>
      <c r="K20" s="3">
        <v>2577649.88</v>
      </c>
      <c r="L20" s="3">
        <v>16078522</v>
      </c>
      <c r="M20" s="3">
        <v>617173</v>
      </c>
      <c r="N20" s="3">
        <v>617173</v>
      </c>
      <c r="O20" s="3">
        <v>3314567.5799999996</v>
      </c>
      <c r="R20" s="3">
        <v>92388</v>
      </c>
      <c r="S20" s="3">
        <v>194665</v>
      </c>
      <c r="T20" s="3">
        <v>2630753</v>
      </c>
      <c r="U20" s="3">
        <f>Table2[[#This Row],[EB Value Total (Rs.)]]+Table2[[#This Row],[IEX-Value
(Rs.)]]+Table2[[#This Row],[LTPPA-Value
(Rs.)]]</f>
        <v>19393089.579999998</v>
      </c>
      <c r="V20" s="3">
        <f>IFERROR(Table2[[#This Row],[Total Value]]/(Table2[[#This Row],[EB Units
(KVAH)]]+Table2[[#This Row],[OA Considered
IEX (Kwh)]]+Table2[[#This Row],[OA Unit-LTPPA
(KWh)]]),"")</f>
        <v>6.5511152451142172</v>
      </c>
    </row>
    <row r="21" spans="1:23" x14ac:dyDescent="0.35">
      <c r="V21" s="3" t="str">
        <f>IFERROR(Table2[[#This Row],[Total Value]]/(Table2[[#This Row],[EB Units
(KVAH)]]+Table2[[#This Row],[OA Considered
IEX (Kwh)]]+Table2[[#This Row],[OA Unit-LTPPA
(KWh)]]),"")</f>
        <v/>
      </c>
    </row>
  </sheetData>
  <sheetProtection algorithmName="SHA-512" hashValue="y4fN7PzRtC96hMQHoAtlWPEkEfVjQ4w1FJzW3XX3qvFFjgczzVxc2g2Q7z9htq4FOe1zJlG8EHA7k5AzAAnDLA==" saltValue="CEp5I9pv1DNHHNba+2gJkA==" spinCount="100000" sheet="1" objects="1" scenarios="1" selectLockedCells="1"/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W31"/>
  <sheetViews>
    <sheetView showGridLines="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J31" sqref="J31:J32"/>
    </sheetView>
  </sheetViews>
  <sheetFormatPr defaultColWidth="9" defaultRowHeight="14.5" x14ac:dyDescent="0.35"/>
  <cols>
    <col min="1" max="1" width="8.984375E-2" style="7" customWidth="1"/>
    <col min="2" max="2" width="10.6328125" style="7" customWidth="1"/>
    <col min="3" max="3" width="10" style="7" bestFit="1" customWidth="1"/>
    <col min="4" max="4" width="6.6328125" style="7" customWidth="1"/>
    <col min="5" max="5" width="6.6328125" style="7" bestFit="1" customWidth="1"/>
    <col min="6" max="6" width="8" style="7" bestFit="1" customWidth="1"/>
    <col min="7" max="7" width="8.36328125" style="7" hidden="1" customWidth="1"/>
    <col min="8" max="8" width="8.6328125" style="7" bestFit="1" customWidth="1"/>
    <col min="9" max="9" width="7.90625" style="7" bestFit="1" customWidth="1"/>
    <col min="10" max="10" width="8" style="7" bestFit="1" customWidth="1"/>
    <col min="11" max="11" width="9.36328125" style="7" bestFit="1" customWidth="1"/>
    <col min="12" max="12" width="9" style="7" bestFit="1" customWidth="1"/>
    <col min="13" max="14" width="7" style="7" bestFit="1" customWidth="1"/>
    <col min="15" max="15" width="8.7265625" style="7" customWidth="1"/>
    <col min="16" max="16" width="7.90625" style="7" bestFit="1" customWidth="1"/>
    <col min="17" max="17" width="8.90625" style="7" bestFit="1" customWidth="1"/>
    <col min="18" max="18" width="8.90625" style="7" customWidth="1"/>
    <col min="19" max="19" width="9.90625" style="7" customWidth="1"/>
    <col min="20" max="20" width="8.90625" style="7" customWidth="1"/>
    <col min="21" max="21" width="9" style="7" bestFit="1" customWidth="1"/>
    <col min="22" max="16384" width="9" style="7"/>
  </cols>
  <sheetData>
    <row r="2" spans="2:23" ht="65" x14ac:dyDescent="0.35">
      <c r="B2" s="14" t="s">
        <v>24</v>
      </c>
      <c r="C2" s="14" t="s">
        <v>25</v>
      </c>
      <c r="D2" s="14" t="s">
        <v>11</v>
      </c>
      <c r="E2" s="14" t="s">
        <v>10</v>
      </c>
      <c r="F2" s="14" t="s">
        <v>33</v>
      </c>
      <c r="G2" s="14" t="s">
        <v>32</v>
      </c>
      <c r="H2" s="14" t="s">
        <v>31</v>
      </c>
      <c r="I2" s="14" t="s">
        <v>7</v>
      </c>
      <c r="J2" s="14" t="s">
        <v>17</v>
      </c>
      <c r="K2" s="14" t="s">
        <v>4</v>
      </c>
      <c r="L2" s="14" t="s">
        <v>36</v>
      </c>
      <c r="M2" s="14" t="s">
        <v>29</v>
      </c>
      <c r="N2" s="14" t="s">
        <v>28</v>
      </c>
      <c r="O2" s="14" t="s">
        <v>37</v>
      </c>
      <c r="P2" s="14" t="s">
        <v>27</v>
      </c>
      <c r="Q2" s="14" t="s">
        <v>26</v>
      </c>
      <c r="R2" s="14" t="s">
        <v>43</v>
      </c>
      <c r="S2" s="14" t="s">
        <v>38</v>
      </c>
      <c r="T2" s="14" t="s">
        <v>39</v>
      </c>
      <c r="U2" s="14" t="s">
        <v>21</v>
      </c>
      <c r="V2" s="42" t="s">
        <v>42</v>
      </c>
      <c r="W2" s="42" t="s">
        <v>44</v>
      </c>
    </row>
    <row r="3" spans="2:23" x14ac:dyDescent="0.35">
      <c r="B3" s="8">
        <v>45383</v>
      </c>
      <c r="C3" s="9" t="s">
        <v>23</v>
      </c>
      <c r="D3" s="9">
        <v>4500</v>
      </c>
      <c r="E3" s="10">
        <v>4630</v>
      </c>
      <c r="F3" s="9">
        <v>2596800</v>
      </c>
      <c r="G3" s="9">
        <v>0</v>
      </c>
      <c r="H3" s="9">
        <v>0</v>
      </c>
      <c r="I3" s="9">
        <v>0</v>
      </c>
      <c r="J3" s="9">
        <v>0</v>
      </c>
      <c r="K3" s="9">
        <v>930800</v>
      </c>
      <c r="L3" s="12">
        <v>17472399</v>
      </c>
      <c r="M3" s="9">
        <v>0</v>
      </c>
      <c r="N3" s="9">
        <v>15682</v>
      </c>
      <c r="O3" s="15">
        <f t="shared" ref="O3:O29" si="0">F3+H3+M3+N3</f>
        <v>2612482</v>
      </c>
      <c r="P3" s="16">
        <f t="shared" ref="P3:P29" si="1">F3+H3</f>
        <v>2596800</v>
      </c>
      <c r="Q3" s="16">
        <f t="shared" ref="Q3:Q29" si="2">(I3-J3)+L3</f>
        <v>17472399</v>
      </c>
      <c r="R3" s="16"/>
      <c r="S3" s="17">
        <f t="shared" ref="S3:S29" si="3">Q3/P3</f>
        <v>6.728434611829945</v>
      </c>
      <c r="T3" s="17">
        <f t="shared" ref="T3:T29" si="4">(Q3-K3)/P3</f>
        <v>6.3699934534812073</v>
      </c>
      <c r="U3" s="9">
        <v>1467015</v>
      </c>
      <c r="V3" s="26">
        <f>Table226[[#This Row],[IEX-Value
(Rs.)]]+Table226[[#This Row],[Wheeling /CSS/AS]]</f>
        <v>0</v>
      </c>
      <c r="W3" s="26" t="e">
        <f>Table226[[#This Row],[Column1]]/Table226[[#This Row],[OA Considered
IEX (Kvah)]]</f>
        <v>#DIV/0!</v>
      </c>
    </row>
    <row r="4" spans="2:23" x14ac:dyDescent="0.35">
      <c r="B4" s="8">
        <v>45413</v>
      </c>
      <c r="C4" s="9" t="s">
        <v>23</v>
      </c>
      <c r="D4" s="9">
        <v>4500</v>
      </c>
      <c r="E4" s="10">
        <v>4480</v>
      </c>
      <c r="F4" s="9">
        <v>2511400</v>
      </c>
      <c r="G4" s="9">
        <v>0</v>
      </c>
      <c r="H4" s="9">
        <v>0</v>
      </c>
      <c r="I4" s="9">
        <v>0</v>
      </c>
      <c r="J4" s="9">
        <v>0</v>
      </c>
      <c r="K4" s="9">
        <v>1038720</v>
      </c>
      <c r="L4" s="12">
        <v>18432589</v>
      </c>
      <c r="M4" s="9">
        <v>0</v>
      </c>
      <c r="N4" s="9">
        <v>82911</v>
      </c>
      <c r="O4" s="15">
        <f t="shared" si="0"/>
        <v>2594311</v>
      </c>
      <c r="P4" s="16">
        <f t="shared" si="1"/>
        <v>2511400</v>
      </c>
      <c r="Q4" s="16">
        <f t="shared" si="2"/>
        <v>18432589</v>
      </c>
      <c r="R4" s="16"/>
      <c r="S4" s="17">
        <f t="shared" si="3"/>
        <v>7.3395671736879828</v>
      </c>
      <c r="T4" s="17">
        <f t="shared" si="4"/>
        <v>6.9259651986939552</v>
      </c>
      <c r="U4" s="9">
        <v>0</v>
      </c>
      <c r="V4" s="26">
        <f>Table226[[#This Row],[IEX-Value
(Rs.)]]+Table226[[#This Row],[Wheeling /CSS/AS]]</f>
        <v>0</v>
      </c>
      <c r="W4" s="26" t="e">
        <f>Table226[[#This Row],[Column1]]/Table226[[#This Row],[OA Considered
IEX (Kvah)]]</f>
        <v>#DIV/0!</v>
      </c>
    </row>
    <row r="5" spans="2:23" x14ac:dyDescent="0.35">
      <c r="B5" s="8">
        <v>45444</v>
      </c>
      <c r="C5" s="9" t="s">
        <v>23</v>
      </c>
      <c r="D5" s="9">
        <v>4500</v>
      </c>
      <c r="E5" s="10">
        <v>4530</v>
      </c>
      <c r="F5" s="9">
        <v>2501400</v>
      </c>
      <c r="G5" s="9">
        <v>0</v>
      </c>
      <c r="H5" s="9">
        <v>0</v>
      </c>
      <c r="I5" s="9">
        <v>0</v>
      </c>
      <c r="J5" s="9">
        <v>0</v>
      </c>
      <c r="K5" s="9">
        <v>1004560</v>
      </c>
      <c r="L5" s="12">
        <v>17949000</v>
      </c>
      <c r="M5" s="9">
        <v>54302</v>
      </c>
      <c r="N5" s="9">
        <v>69994</v>
      </c>
      <c r="O5" s="15">
        <f t="shared" si="0"/>
        <v>2625696</v>
      </c>
      <c r="P5" s="16">
        <f t="shared" si="1"/>
        <v>2501400</v>
      </c>
      <c r="Q5" s="16">
        <f t="shared" si="2"/>
        <v>17949000</v>
      </c>
      <c r="R5" s="16"/>
      <c r="S5" s="17">
        <f t="shared" si="3"/>
        <v>7.1755816742624132</v>
      </c>
      <c r="T5" s="17">
        <f t="shared" si="4"/>
        <v>6.7739825697609337</v>
      </c>
      <c r="U5" s="9">
        <v>0</v>
      </c>
      <c r="V5" s="26">
        <f>Table226[[#This Row],[IEX-Value
(Rs.)]]+Table226[[#This Row],[Wheeling /CSS/AS]]</f>
        <v>0</v>
      </c>
      <c r="W5" s="26" t="e">
        <f>Table226[[#This Row],[Column1]]/Table226[[#This Row],[OA Considered
IEX (Kvah)]]</f>
        <v>#DIV/0!</v>
      </c>
    </row>
    <row r="6" spans="2:23" x14ac:dyDescent="0.35">
      <c r="B6" s="8">
        <v>45474</v>
      </c>
      <c r="C6" s="9" t="s">
        <v>23</v>
      </c>
      <c r="D6" s="9">
        <v>4500</v>
      </c>
      <c r="E6" s="10">
        <v>4350</v>
      </c>
      <c r="F6" s="9">
        <v>2610100</v>
      </c>
      <c r="G6" s="9">
        <v>0</v>
      </c>
      <c r="H6" s="9">
        <v>0</v>
      </c>
      <c r="I6" s="9">
        <v>0</v>
      </c>
      <c r="J6" s="9">
        <v>0</v>
      </c>
      <c r="K6" s="9">
        <v>1000560</v>
      </c>
      <c r="L6" s="12">
        <v>18484520</v>
      </c>
      <c r="M6" s="9">
        <v>92465</v>
      </c>
      <c r="N6" s="9">
        <v>48533</v>
      </c>
      <c r="O6" s="15">
        <f t="shared" si="0"/>
        <v>2751098</v>
      </c>
      <c r="P6" s="16">
        <f t="shared" si="1"/>
        <v>2610100</v>
      </c>
      <c r="Q6" s="16">
        <f t="shared" si="2"/>
        <v>18484520</v>
      </c>
      <c r="R6" s="16"/>
      <c r="S6" s="17">
        <f t="shared" si="3"/>
        <v>7.0819202329412665</v>
      </c>
      <c r="T6" s="17">
        <f t="shared" si="4"/>
        <v>6.698578598521129</v>
      </c>
      <c r="U6" s="9">
        <v>0</v>
      </c>
      <c r="V6" s="26">
        <f>Table226[[#This Row],[IEX-Value
(Rs.)]]+Table226[[#This Row],[Wheeling /CSS/AS]]</f>
        <v>0</v>
      </c>
      <c r="W6" s="26" t="e">
        <f>Table226[[#This Row],[Column1]]/Table226[[#This Row],[OA Considered
IEX (Kvah)]]</f>
        <v>#DIV/0!</v>
      </c>
    </row>
    <row r="7" spans="2:23" x14ac:dyDescent="0.35">
      <c r="B7" s="8">
        <v>45505</v>
      </c>
      <c r="C7" s="9" t="s">
        <v>23</v>
      </c>
      <c r="D7" s="9">
        <v>4500</v>
      </c>
      <c r="E7" s="10">
        <v>4290</v>
      </c>
      <c r="F7" s="9">
        <v>2550700</v>
      </c>
      <c r="G7" s="9">
        <v>0</v>
      </c>
      <c r="H7" s="9">
        <v>0</v>
      </c>
      <c r="I7" s="9">
        <v>0</v>
      </c>
      <c r="J7" s="9">
        <v>0</v>
      </c>
      <c r="K7" s="9">
        <v>1044040</v>
      </c>
      <c r="L7" s="12">
        <v>18166088</v>
      </c>
      <c r="M7" s="9">
        <v>107687</v>
      </c>
      <c r="N7" s="9">
        <v>80407</v>
      </c>
      <c r="O7" s="15">
        <f t="shared" si="0"/>
        <v>2738794</v>
      </c>
      <c r="P7" s="16">
        <f t="shared" si="1"/>
        <v>2550700</v>
      </c>
      <c r="Q7" s="16">
        <f t="shared" si="2"/>
        <v>18166088</v>
      </c>
      <c r="R7" s="16"/>
      <c r="S7" s="17">
        <f t="shared" si="3"/>
        <v>7.1220010193280272</v>
      </c>
      <c r="T7" s="17">
        <f t="shared" si="4"/>
        <v>6.7126859293527268</v>
      </c>
      <c r="U7" s="9">
        <v>0</v>
      </c>
      <c r="V7" s="26">
        <f>Table226[[#This Row],[IEX-Value
(Rs.)]]+Table226[[#This Row],[Wheeling /CSS/AS]]</f>
        <v>0</v>
      </c>
      <c r="W7" s="26" t="e">
        <f>Table226[[#This Row],[Column1]]/Table226[[#This Row],[OA Considered
IEX (Kvah)]]</f>
        <v>#DIV/0!</v>
      </c>
    </row>
    <row r="8" spans="2:23" x14ac:dyDescent="0.35">
      <c r="B8" s="8">
        <v>45536</v>
      </c>
      <c r="C8" s="9" t="s">
        <v>23</v>
      </c>
      <c r="D8" s="9">
        <v>4500</v>
      </c>
      <c r="E8" s="10">
        <v>4261.1000000000004</v>
      </c>
      <c r="F8" s="9">
        <v>2377900</v>
      </c>
      <c r="G8" s="9">
        <v>0</v>
      </c>
      <c r="H8" s="9">
        <v>0</v>
      </c>
      <c r="I8" s="9">
        <v>0</v>
      </c>
      <c r="J8" s="9">
        <v>0</v>
      </c>
      <c r="K8" s="9">
        <v>1020280</v>
      </c>
      <c r="L8" s="12">
        <v>17474737</v>
      </c>
      <c r="M8" s="9">
        <v>102517</v>
      </c>
      <c r="N8" s="9">
        <v>25157</v>
      </c>
      <c r="O8" s="15">
        <f t="shared" si="0"/>
        <v>2505574</v>
      </c>
      <c r="P8" s="16">
        <f t="shared" si="1"/>
        <v>2377900</v>
      </c>
      <c r="Q8" s="16">
        <f t="shared" si="2"/>
        <v>17474737</v>
      </c>
      <c r="R8" s="16"/>
      <c r="S8" s="17">
        <f t="shared" si="3"/>
        <v>7.3488107153370619</v>
      </c>
      <c r="T8" s="17">
        <f t="shared" si="4"/>
        <v>6.9197430505908573</v>
      </c>
      <c r="U8" s="9">
        <v>0</v>
      </c>
      <c r="V8" s="26">
        <f>Table226[[#This Row],[IEX-Value
(Rs.)]]+Table226[[#This Row],[Wheeling /CSS/AS]]</f>
        <v>0</v>
      </c>
      <c r="W8" s="26" t="e">
        <f>Table226[[#This Row],[Column1]]/Table226[[#This Row],[OA Considered
IEX (Kvah)]]</f>
        <v>#DIV/0!</v>
      </c>
    </row>
    <row r="9" spans="2:23" x14ac:dyDescent="0.35">
      <c r="B9" s="8">
        <v>45566</v>
      </c>
      <c r="C9" s="9" t="s">
        <v>23</v>
      </c>
      <c r="D9" s="9">
        <v>4500</v>
      </c>
      <c r="E9" s="10">
        <v>4382.1000000000004</v>
      </c>
      <c r="F9" s="9">
        <v>2468700</v>
      </c>
      <c r="G9" s="9">
        <v>0</v>
      </c>
      <c r="H9" s="9">
        <v>0</v>
      </c>
      <c r="I9" s="9">
        <v>0</v>
      </c>
      <c r="J9" s="9">
        <v>0</v>
      </c>
      <c r="K9" s="9">
        <v>951160</v>
      </c>
      <c r="L9" s="12">
        <v>18031319</v>
      </c>
      <c r="M9" s="9">
        <v>120493</v>
      </c>
      <c r="N9" s="9">
        <v>66579</v>
      </c>
      <c r="O9" s="15">
        <f t="shared" si="0"/>
        <v>2655772</v>
      </c>
      <c r="P9" s="16">
        <f t="shared" si="1"/>
        <v>2468700</v>
      </c>
      <c r="Q9" s="16">
        <f t="shared" si="2"/>
        <v>18031319</v>
      </c>
      <c r="R9" s="16"/>
      <c r="S9" s="17">
        <f t="shared" si="3"/>
        <v>7.3039733462956216</v>
      </c>
      <c r="T9" s="17">
        <f t="shared" si="4"/>
        <v>6.9186855429983396</v>
      </c>
      <c r="U9" s="9">
        <v>0</v>
      </c>
      <c r="V9" s="26">
        <f>Table226[[#This Row],[IEX-Value
(Rs.)]]+Table226[[#This Row],[Wheeling /CSS/AS]]</f>
        <v>0</v>
      </c>
      <c r="W9" s="26" t="e">
        <f>Table226[[#This Row],[Column1]]/Table226[[#This Row],[OA Considered
IEX (Kvah)]]</f>
        <v>#DIV/0!</v>
      </c>
    </row>
    <row r="10" spans="2:23" x14ac:dyDescent="0.35">
      <c r="B10" s="8">
        <v>45597</v>
      </c>
      <c r="C10" s="9" t="s">
        <v>23</v>
      </c>
      <c r="D10" s="9">
        <v>4500</v>
      </c>
      <c r="E10" s="10">
        <v>4391.8999999999996</v>
      </c>
      <c r="F10" s="9">
        <v>2330100</v>
      </c>
      <c r="G10" s="9">
        <v>0</v>
      </c>
      <c r="H10" s="9">
        <v>0</v>
      </c>
      <c r="I10" s="9">
        <v>0</v>
      </c>
      <c r="J10" s="9">
        <v>0</v>
      </c>
      <c r="K10" s="12">
        <v>1757823.6</v>
      </c>
      <c r="L10" s="12">
        <v>17621216</v>
      </c>
      <c r="M10" s="9">
        <v>110114</v>
      </c>
      <c r="N10" s="9">
        <v>24173</v>
      </c>
      <c r="O10" s="15">
        <f t="shared" si="0"/>
        <v>2464387</v>
      </c>
      <c r="P10" s="16">
        <f t="shared" si="1"/>
        <v>2330100</v>
      </c>
      <c r="Q10" s="16">
        <f t="shared" si="2"/>
        <v>17621216</v>
      </c>
      <c r="R10" s="16"/>
      <c r="S10" s="17">
        <f t="shared" si="3"/>
        <v>7.5624290802969831</v>
      </c>
      <c r="T10" s="17">
        <f t="shared" si="4"/>
        <v>6.8080307282949235</v>
      </c>
      <c r="U10" s="9">
        <v>0</v>
      </c>
      <c r="V10" s="26">
        <f>Table226[[#This Row],[IEX-Value
(Rs.)]]+Table226[[#This Row],[Wheeling /CSS/AS]]</f>
        <v>0</v>
      </c>
      <c r="W10" s="26" t="e">
        <f>Table226[[#This Row],[Column1]]/Table226[[#This Row],[OA Considered
IEX (Kvah)]]</f>
        <v>#DIV/0!</v>
      </c>
    </row>
    <row r="11" spans="2:23" x14ac:dyDescent="0.35">
      <c r="B11" s="8">
        <v>45627</v>
      </c>
      <c r="C11" s="9" t="s">
        <v>23</v>
      </c>
      <c r="D11" s="9">
        <v>4500</v>
      </c>
      <c r="E11" s="10">
        <v>4301.1000000000004</v>
      </c>
      <c r="F11" s="9">
        <v>2538800</v>
      </c>
      <c r="G11" s="9">
        <v>0</v>
      </c>
      <c r="H11" s="9">
        <v>0</v>
      </c>
      <c r="I11" s="9">
        <v>0</v>
      </c>
      <c r="J11" s="9">
        <v>0</v>
      </c>
      <c r="K11" s="12">
        <v>2527169.2799999998</v>
      </c>
      <c r="L11" s="12">
        <v>19595918</v>
      </c>
      <c r="M11" s="9">
        <v>86997</v>
      </c>
      <c r="N11" s="9">
        <v>21429</v>
      </c>
      <c r="O11" s="15">
        <f t="shared" si="0"/>
        <v>2647226</v>
      </c>
      <c r="P11" s="16">
        <f t="shared" si="1"/>
        <v>2538800</v>
      </c>
      <c r="Q11" s="16">
        <f t="shared" si="2"/>
        <v>19595918</v>
      </c>
      <c r="R11" s="16"/>
      <c r="S11" s="17">
        <f t="shared" si="3"/>
        <v>7.7185749172837559</v>
      </c>
      <c r="T11" s="17">
        <f t="shared" si="4"/>
        <v>6.7231561052465727</v>
      </c>
      <c r="U11" s="9">
        <v>0</v>
      </c>
      <c r="V11" s="26">
        <f>Table226[[#This Row],[IEX-Value
(Rs.)]]+Table226[[#This Row],[Wheeling /CSS/AS]]</f>
        <v>0</v>
      </c>
      <c r="W11" s="26" t="e">
        <f>Table226[[#This Row],[Column1]]/Table226[[#This Row],[OA Considered
IEX (Kvah)]]</f>
        <v>#DIV/0!</v>
      </c>
    </row>
    <row r="12" spans="2:23" x14ac:dyDescent="0.35">
      <c r="B12" s="8">
        <v>45658</v>
      </c>
      <c r="C12" s="9" t="s">
        <v>23</v>
      </c>
      <c r="D12" s="9">
        <v>4500</v>
      </c>
      <c r="E12" s="10">
        <v>4316</v>
      </c>
      <c r="F12" s="9">
        <v>2199100</v>
      </c>
      <c r="G12" s="9">
        <v>0</v>
      </c>
      <c r="H12" s="9">
        <v>0</v>
      </c>
      <c r="I12" s="9">
        <v>0</v>
      </c>
      <c r="J12" s="9">
        <v>0</v>
      </c>
      <c r="K12" s="12">
        <v>2605733.56</v>
      </c>
      <c r="L12" s="12">
        <v>17670152</v>
      </c>
      <c r="M12" s="9">
        <v>118325</v>
      </c>
      <c r="N12" s="9">
        <v>39957</v>
      </c>
      <c r="O12" s="15">
        <f t="shared" si="0"/>
        <v>2357382</v>
      </c>
      <c r="P12" s="16">
        <f t="shared" si="1"/>
        <v>2199100</v>
      </c>
      <c r="Q12" s="16">
        <f t="shared" si="2"/>
        <v>17670152</v>
      </c>
      <c r="R12" s="16"/>
      <c r="S12" s="17">
        <f t="shared" si="3"/>
        <v>8.0351743895229859</v>
      </c>
      <c r="T12" s="17">
        <f t="shared" si="4"/>
        <v>6.8502653085353096</v>
      </c>
      <c r="U12" s="9">
        <v>0</v>
      </c>
      <c r="V12" s="26">
        <f>Table226[[#This Row],[IEX-Value
(Rs.)]]+Table226[[#This Row],[Wheeling /CSS/AS]]</f>
        <v>0</v>
      </c>
      <c r="W12" s="26" t="e">
        <f>Table226[[#This Row],[Column1]]/Table226[[#This Row],[OA Considered
IEX (Kvah)]]</f>
        <v>#DIV/0!</v>
      </c>
    </row>
    <row r="13" spans="2:23" x14ac:dyDescent="0.35">
      <c r="B13" s="8">
        <v>45689</v>
      </c>
      <c r="C13" s="9" t="s">
        <v>23</v>
      </c>
      <c r="D13" s="9">
        <v>4500</v>
      </c>
      <c r="E13" s="10">
        <v>4169.5</v>
      </c>
      <c r="F13" s="9">
        <v>2177400</v>
      </c>
      <c r="G13" s="9">
        <v>0</v>
      </c>
      <c r="H13" s="9">
        <v>0</v>
      </c>
      <c r="I13" s="9">
        <v>0</v>
      </c>
      <c r="J13" s="9">
        <v>0</v>
      </c>
      <c r="K13" s="12">
        <v>2816850.24</v>
      </c>
      <c r="L13" s="12">
        <v>18159677</v>
      </c>
      <c r="M13" s="9">
        <v>113106</v>
      </c>
      <c r="N13" s="9">
        <v>47680</v>
      </c>
      <c r="O13" s="15">
        <f t="shared" si="0"/>
        <v>2338186</v>
      </c>
      <c r="P13" s="16">
        <f t="shared" si="1"/>
        <v>2177400</v>
      </c>
      <c r="Q13" s="16">
        <f t="shared" si="2"/>
        <v>18159677</v>
      </c>
      <c r="R13" s="16"/>
      <c r="S13" s="17">
        <f t="shared" si="3"/>
        <v>8.3400739413979981</v>
      </c>
      <c r="T13" s="17">
        <f t="shared" si="4"/>
        <v>7.0463978873886282</v>
      </c>
      <c r="U13" s="9">
        <v>0</v>
      </c>
      <c r="V13" s="26">
        <f>Table226[[#This Row],[IEX-Value
(Rs.)]]+Table226[[#This Row],[Wheeling /CSS/AS]]</f>
        <v>0</v>
      </c>
      <c r="W13" s="26" t="e">
        <f>Table226[[#This Row],[Column1]]/Table226[[#This Row],[OA Considered
IEX (Kvah)]]</f>
        <v>#DIV/0!</v>
      </c>
    </row>
    <row r="14" spans="2:23" x14ac:dyDescent="0.35">
      <c r="B14" s="8">
        <v>45717</v>
      </c>
      <c r="C14" s="9" t="s">
        <v>23</v>
      </c>
      <c r="D14" s="9">
        <v>4500</v>
      </c>
      <c r="E14" s="10">
        <v>4391.3</v>
      </c>
      <c r="F14" s="9">
        <v>2541900</v>
      </c>
      <c r="G14" s="9">
        <v>0</v>
      </c>
      <c r="H14" s="9">
        <v>0</v>
      </c>
      <c r="I14" s="9">
        <v>0</v>
      </c>
      <c r="J14" s="9">
        <v>0</v>
      </c>
      <c r="K14" s="12">
        <v>2875382.44</v>
      </c>
      <c r="L14" s="12">
        <v>20459367</v>
      </c>
      <c r="M14" s="9">
        <v>143867</v>
      </c>
      <c r="N14" s="9">
        <v>23262</v>
      </c>
      <c r="O14" s="15">
        <f t="shared" si="0"/>
        <v>2709029</v>
      </c>
      <c r="P14" s="16">
        <f t="shared" si="1"/>
        <v>2541900</v>
      </c>
      <c r="Q14" s="16">
        <f t="shared" si="2"/>
        <v>20459367</v>
      </c>
      <c r="R14" s="16"/>
      <c r="S14" s="17">
        <f t="shared" si="3"/>
        <v>8.0488481057476697</v>
      </c>
      <c r="T14" s="17">
        <f t="shared" si="4"/>
        <v>6.9176539439002314</v>
      </c>
      <c r="U14" s="9">
        <v>0</v>
      </c>
      <c r="V14" s="26">
        <f>Table226[[#This Row],[IEX-Value
(Rs.)]]+Table226[[#This Row],[Wheeling /CSS/AS]]</f>
        <v>0</v>
      </c>
      <c r="W14" s="26" t="e">
        <f>Table226[[#This Row],[Column1]]/Table226[[#This Row],[OA Considered
IEX (Kvah)]]</f>
        <v>#DIV/0!</v>
      </c>
    </row>
    <row r="15" spans="2:23" x14ac:dyDescent="0.35">
      <c r="B15" s="8">
        <v>45748</v>
      </c>
      <c r="C15" s="9" t="s">
        <v>23</v>
      </c>
      <c r="D15" s="9">
        <v>4500</v>
      </c>
      <c r="E15" s="10">
        <v>4412.5</v>
      </c>
      <c r="F15" s="9">
        <v>2560900</v>
      </c>
      <c r="G15" s="9">
        <v>0</v>
      </c>
      <c r="H15" s="9">
        <v>0</v>
      </c>
      <c r="I15" s="9">
        <v>0</v>
      </c>
      <c r="J15" s="9">
        <v>0</v>
      </c>
      <c r="K15" s="12">
        <v>3154547.56</v>
      </c>
      <c r="L15" s="12">
        <v>18989015</v>
      </c>
      <c r="M15" s="9">
        <v>134448</v>
      </c>
      <c r="N15" s="9">
        <v>91897</v>
      </c>
      <c r="O15" s="15">
        <f t="shared" si="0"/>
        <v>2787245</v>
      </c>
      <c r="P15" s="16">
        <f t="shared" si="1"/>
        <v>2560900</v>
      </c>
      <c r="Q15" s="16">
        <f t="shared" si="2"/>
        <v>18989015</v>
      </c>
      <c r="R15" s="16"/>
      <c r="S15" s="17">
        <f t="shared" si="3"/>
        <v>7.4149771564684288</v>
      </c>
      <c r="T15" s="17">
        <f t="shared" si="4"/>
        <v>6.1831650747783984</v>
      </c>
      <c r="U15" s="9">
        <v>1840049</v>
      </c>
      <c r="V15" s="26">
        <f>Table226[[#This Row],[IEX-Value
(Rs.)]]+Table226[[#This Row],[Wheeling /CSS/AS]]</f>
        <v>0</v>
      </c>
      <c r="W15" s="26" t="e">
        <f>Table226[[#This Row],[Column1]]/Table226[[#This Row],[OA Considered
IEX (Kvah)]]</f>
        <v>#DIV/0!</v>
      </c>
    </row>
    <row r="16" spans="2:23" x14ac:dyDescent="0.35">
      <c r="B16" s="8">
        <v>45778</v>
      </c>
      <c r="C16" s="9" t="s">
        <v>23</v>
      </c>
      <c r="D16" s="9">
        <v>4500</v>
      </c>
      <c r="E16" s="10">
        <v>4357.8999999999996</v>
      </c>
      <c r="F16" s="9">
        <v>2572900</v>
      </c>
      <c r="G16" s="9">
        <v>0</v>
      </c>
      <c r="H16" s="9">
        <v>0</v>
      </c>
      <c r="I16" s="9">
        <v>0</v>
      </c>
      <c r="J16" s="9">
        <v>0</v>
      </c>
      <c r="K16" s="12">
        <v>3306327.42</v>
      </c>
      <c r="L16" s="12">
        <v>21040972</v>
      </c>
      <c r="M16" s="9">
        <v>113033</v>
      </c>
      <c r="N16" s="9">
        <v>88861</v>
      </c>
      <c r="O16" s="15">
        <f t="shared" si="0"/>
        <v>2774794</v>
      </c>
      <c r="P16" s="16">
        <f t="shared" si="1"/>
        <v>2572900</v>
      </c>
      <c r="Q16" s="16">
        <f t="shared" si="2"/>
        <v>21040972</v>
      </c>
      <c r="R16" s="16"/>
      <c r="S16" s="17">
        <f t="shared" si="3"/>
        <v>8.1779206343037032</v>
      </c>
      <c r="T16" s="17">
        <f t="shared" si="4"/>
        <v>6.8928619767577439</v>
      </c>
      <c r="U16" s="9">
        <v>0</v>
      </c>
      <c r="V16" s="26">
        <f>Table226[[#This Row],[IEX-Value
(Rs.)]]+Table226[[#This Row],[Wheeling /CSS/AS]]</f>
        <v>0</v>
      </c>
      <c r="W16" s="26" t="e">
        <f>Table226[[#This Row],[Column1]]/Table226[[#This Row],[OA Considered
IEX (Kvah)]]</f>
        <v>#DIV/0!</v>
      </c>
    </row>
    <row r="17" spans="2:23" x14ac:dyDescent="0.35">
      <c r="B17" s="8">
        <v>45809</v>
      </c>
      <c r="C17" s="9" t="s">
        <v>23</v>
      </c>
      <c r="D17" s="9">
        <v>4500</v>
      </c>
      <c r="E17" s="10">
        <v>4311.8999999999996</v>
      </c>
      <c r="F17" s="9">
        <v>2327100</v>
      </c>
      <c r="G17" s="9">
        <v>0</v>
      </c>
      <c r="H17" s="9">
        <v>0</v>
      </c>
      <c r="I17" s="9">
        <v>0</v>
      </c>
      <c r="J17" s="9">
        <v>0</v>
      </c>
      <c r="K17" s="12">
        <v>3280289.98</v>
      </c>
      <c r="L17" s="12">
        <v>19094783</v>
      </c>
      <c r="M17" s="12">
        <v>96529.35</v>
      </c>
      <c r="N17" s="9">
        <v>164795</v>
      </c>
      <c r="O17" s="15">
        <f t="shared" si="0"/>
        <v>2588424.35</v>
      </c>
      <c r="P17" s="16">
        <f t="shared" si="1"/>
        <v>2327100</v>
      </c>
      <c r="Q17" s="16">
        <f t="shared" si="2"/>
        <v>19094783</v>
      </c>
      <c r="R17" s="16"/>
      <c r="S17" s="17">
        <f t="shared" si="3"/>
        <v>8.2053985647372265</v>
      </c>
      <c r="T17" s="17">
        <f t="shared" si="4"/>
        <v>6.7957943448927844</v>
      </c>
      <c r="U17" s="9">
        <v>0</v>
      </c>
      <c r="V17" s="26">
        <f>Table226[[#This Row],[IEX-Value
(Rs.)]]+Table226[[#This Row],[Wheeling /CSS/AS]]</f>
        <v>0</v>
      </c>
      <c r="W17" s="26" t="e">
        <f>Table226[[#This Row],[Column1]]/Table226[[#This Row],[OA Considered
IEX (Kvah)]]</f>
        <v>#DIV/0!</v>
      </c>
    </row>
    <row r="18" spans="2:23" x14ac:dyDescent="0.35">
      <c r="B18" s="8">
        <v>45839</v>
      </c>
      <c r="C18" s="9" t="s">
        <v>23</v>
      </c>
      <c r="D18" s="9">
        <v>5700</v>
      </c>
      <c r="E18" s="10">
        <v>4327</v>
      </c>
      <c r="F18" s="9">
        <v>2585700</v>
      </c>
      <c r="G18" s="9">
        <v>0</v>
      </c>
      <c r="H18" s="9">
        <v>0</v>
      </c>
      <c r="I18" s="9">
        <v>0</v>
      </c>
      <c r="J18" s="9">
        <v>0</v>
      </c>
      <c r="K18" s="12">
        <v>3324791.82</v>
      </c>
      <c r="L18" s="12">
        <v>20695607</v>
      </c>
      <c r="M18" s="12">
        <v>104339</v>
      </c>
      <c r="N18" s="9">
        <v>43453</v>
      </c>
      <c r="O18" s="15">
        <f t="shared" si="0"/>
        <v>2733492</v>
      </c>
      <c r="P18" s="16">
        <f t="shared" si="1"/>
        <v>2585700</v>
      </c>
      <c r="Q18" s="16">
        <f t="shared" si="2"/>
        <v>20695607</v>
      </c>
      <c r="R18" s="16"/>
      <c r="S18" s="17">
        <f t="shared" si="3"/>
        <v>8.0038701318791823</v>
      </c>
      <c r="T18" s="17">
        <f t="shared" si="4"/>
        <v>6.7180319371930226</v>
      </c>
      <c r="U18" s="9">
        <v>0</v>
      </c>
      <c r="V18" s="26">
        <f>Table226[[#This Row],[IEX-Value
(Rs.)]]+Table226[[#This Row],[Wheeling /CSS/AS]]</f>
        <v>0</v>
      </c>
      <c r="W18" s="26" t="e">
        <f>Table226[[#This Row],[Column1]]/Table226[[#This Row],[OA Considered
IEX (Kvah)]]</f>
        <v>#DIV/0!</v>
      </c>
    </row>
    <row r="19" spans="2:23" x14ac:dyDescent="0.35">
      <c r="B19" s="8">
        <v>45870</v>
      </c>
      <c r="C19" s="9" t="s">
        <v>23</v>
      </c>
      <c r="D19" s="9">
        <v>5700</v>
      </c>
      <c r="E19" s="10">
        <v>4417</v>
      </c>
      <c r="F19" s="9">
        <v>2092961</v>
      </c>
      <c r="G19" s="9">
        <v>465389.99999999965</v>
      </c>
      <c r="H19" s="9">
        <v>457739</v>
      </c>
      <c r="I19" s="12">
        <v>1754667.9699999993</v>
      </c>
      <c r="J19" s="9">
        <v>677453</v>
      </c>
      <c r="K19" s="12">
        <v>3257098.26</v>
      </c>
      <c r="L19" s="12">
        <v>18482459</v>
      </c>
      <c r="M19" s="12">
        <v>99821</v>
      </c>
      <c r="N19" s="9">
        <v>19613</v>
      </c>
      <c r="O19" s="15">
        <f t="shared" si="0"/>
        <v>2670134</v>
      </c>
      <c r="P19" s="16">
        <f t="shared" si="1"/>
        <v>2550700</v>
      </c>
      <c r="Q19" s="16">
        <f t="shared" si="2"/>
        <v>19559673.969999999</v>
      </c>
      <c r="R19" s="16"/>
      <c r="S19" s="17">
        <f t="shared" si="3"/>
        <v>7.6683553416709138</v>
      </c>
      <c r="T19" s="17">
        <f t="shared" si="4"/>
        <v>6.391412439722429</v>
      </c>
      <c r="U19" s="9">
        <v>0</v>
      </c>
      <c r="V19" s="26">
        <f>Table226[[#This Row],[IEX-Value
(Rs.)]]+Table226[[#This Row],[Wheeling /CSS/AS]]</f>
        <v>2432120.9699999993</v>
      </c>
      <c r="W19" s="26">
        <f>Table226[[#This Row],[Column1]]/Table226[[#This Row],[OA Considered
IEX (Kvah)]]</f>
        <v>5.3133357000386665</v>
      </c>
    </row>
    <row r="20" spans="2:23" x14ac:dyDescent="0.35">
      <c r="B20" s="8">
        <v>45901</v>
      </c>
      <c r="C20" s="9" t="s">
        <v>23</v>
      </c>
      <c r="D20" s="9">
        <v>5700</v>
      </c>
      <c r="E20" s="10">
        <v>4461.7</v>
      </c>
      <c r="F20" s="9">
        <v>1844407</v>
      </c>
      <c r="G20" s="9">
        <v>742020.00000000023</v>
      </c>
      <c r="H20" s="9">
        <v>732393</v>
      </c>
      <c r="I20" s="12">
        <v>2838316.06</v>
      </c>
      <c r="J20" s="9">
        <v>1083941</v>
      </c>
      <c r="K20" s="12">
        <v>2973350.48</v>
      </c>
      <c r="L20" s="12">
        <v>17383784</v>
      </c>
      <c r="M20" s="12">
        <v>82047.179999999993</v>
      </c>
      <c r="N20" s="9">
        <v>22858</v>
      </c>
      <c r="O20" s="15">
        <f t="shared" si="0"/>
        <v>2681705.1800000002</v>
      </c>
      <c r="P20" s="16">
        <f t="shared" si="1"/>
        <v>2576800</v>
      </c>
      <c r="Q20" s="16">
        <f t="shared" si="2"/>
        <v>19138159.059999999</v>
      </c>
      <c r="R20" s="16"/>
      <c r="S20" s="17">
        <f t="shared" si="3"/>
        <v>7.4271030192486798</v>
      </c>
      <c r="T20" s="17">
        <f t="shared" si="4"/>
        <v>6.2732104082583042</v>
      </c>
      <c r="U20" s="9">
        <v>0</v>
      </c>
      <c r="V20" s="26">
        <f>Table226[[#This Row],[IEX-Value
(Rs.)]]+Table226[[#This Row],[Wheeling /CSS/AS]]</f>
        <v>3922257.06</v>
      </c>
      <c r="W20" s="26">
        <f>Table226[[#This Row],[Column1]]/Table226[[#This Row],[OA Considered
IEX (Kvah)]]</f>
        <v>5.3553994371874118</v>
      </c>
    </row>
    <row r="21" spans="2:23" x14ac:dyDescent="0.35">
      <c r="B21" s="8">
        <v>45931</v>
      </c>
      <c r="C21" s="9" t="s">
        <v>23</v>
      </c>
      <c r="D21" s="9">
        <v>5700</v>
      </c>
      <c r="E21" s="10">
        <v>4215.8</v>
      </c>
      <c r="F21" s="11">
        <v>1725927</v>
      </c>
      <c r="G21" s="9">
        <v>637130.00000000012</v>
      </c>
      <c r="H21" s="9">
        <v>617173</v>
      </c>
      <c r="I21" s="12">
        <v>2401151.5799999996</v>
      </c>
      <c r="J21" s="9">
        <v>913416</v>
      </c>
      <c r="K21" s="12">
        <v>2577649.88</v>
      </c>
      <c r="L21" s="12">
        <v>16078522</v>
      </c>
      <c r="M21" s="12">
        <v>92388</v>
      </c>
      <c r="N21" s="9">
        <v>194665</v>
      </c>
      <c r="O21" s="15">
        <f t="shared" si="0"/>
        <v>2630153</v>
      </c>
      <c r="P21" s="16">
        <f t="shared" si="1"/>
        <v>2343100</v>
      </c>
      <c r="Q21" s="16">
        <f t="shared" si="2"/>
        <v>17566257.579999998</v>
      </c>
      <c r="R21" s="16"/>
      <c r="S21" s="17">
        <f t="shared" si="3"/>
        <v>7.4970157398318458</v>
      </c>
      <c r="T21" s="17">
        <f t="shared" si="4"/>
        <v>6.3969133626392383</v>
      </c>
      <c r="U21" s="9">
        <v>0</v>
      </c>
      <c r="V21" s="26">
        <f>Table226[[#This Row],[IEX-Value
(Rs.)]]+Table226[[#This Row],[Wheeling /CSS/AS]]</f>
        <v>3314567.5799999996</v>
      </c>
      <c r="W21" s="26">
        <f>Table226[[#This Row],[Column1]]/Table226[[#This Row],[OA Considered
IEX (Kvah)]]</f>
        <v>5.37056478491444</v>
      </c>
    </row>
    <row r="22" spans="2:23" x14ac:dyDescent="0.35">
      <c r="B22" s="8">
        <v>45962</v>
      </c>
      <c r="C22" s="9" t="s">
        <v>23</v>
      </c>
      <c r="D22" s="9">
        <v>5700</v>
      </c>
      <c r="E22" s="10">
        <v>4230</v>
      </c>
      <c r="F22" s="9">
        <v>1344037.9999999958</v>
      </c>
      <c r="G22" s="12">
        <v>1021677.5</v>
      </c>
      <c r="H22" s="9">
        <v>1020262</v>
      </c>
      <c r="I22" s="12">
        <v>3941411</v>
      </c>
      <c r="J22" s="9">
        <v>1509987</v>
      </c>
      <c r="K22" s="12">
        <v>2459379.2400000002</v>
      </c>
      <c r="L22" s="12">
        <v>14111517.860000001</v>
      </c>
      <c r="M22" s="12">
        <v>103811.80000000003</v>
      </c>
      <c r="N22" s="9">
        <v>27998</v>
      </c>
      <c r="O22" s="15">
        <f t="shared" si="0"/>
        <v>2496109.7999999956</v>
      </c>
      <c r="P22" s="16">
        <f t="shared" si="1"/>
        <v>2364299.9999999958</v>
      </c>
      <c r="Q22" s="16">
        <f t="shared" si="2"/>
        <v>16542941.860000001</v>
      </c>
      <c r="R22" s="16"/>
      <c r="S22" s="17">
        <f t="shared" si="3"/>
        <v>6.9969724062090393</v>
      </c>
      <c r="T22" s="17">
        <f t="shared" si="4"/>
        <v>5.9567578649071713</v>
      </c>
      <c r="U22" s="9">
        <v>0</v>
      </c>
      <c r="V22" s="26">
        <f>Table226[[#This Row],[IEX-Value
(Rs.)]]+Table226[[#This Row],[Wheeling /CSS/AS]]</f>
        <v>5451398</v>
      </c>
      <c r="W22" s="26">
        <f>Table226[[#This Row],[Column1]]/Table226[[#This Row],[OA Considered
IEX (Kvah)]]</f>
        <v>5.3431353907133659</v>
      </c>
    </row>
    <row r="23" spans="2:23" x14ac:dyDescent="0.35">
      <c r="B23" s="8">
        <v>45992</v>
      </c>
      <c r="C23" s="9" t="s">
        <v>23</v>
      </c>
      <c r="D23" s="9">
        <v>5700</v>
      </c>
      <c r="E23" s="10">
        <v>4302</v>
      </c>
      <c r="F23" s="9">
        <v>1769925.0000000028</v>
      </c>
      <c r="G23" s="13">
        <v>590645.50000000012</v>
      </c>
      <c r="H23" s="9">
        <v>583375</v>
      </c>
      <c r="I23" s="12">
        <v>3500986.7600000002</v>
      </c>
      <c r="J23" s="9">
        <v>863395</v>
      </c>
      <c r="K23" s="12">
        <v>2557287.96</v>
      </c>
      <c r="L23" s="12">
        <v>15947410</v>
      </c>
      <c r="M23" s="12">
        <v>102361.70999999998</v>
      </c>
      <c r="N23" s="9">
        <v>3946</v>
      </c>
      <c r="O23" s="15">
        <f t="shared" si="0"/>
        <v>2459607.7100000028</v>
      </c>
      <c r="P23" s="16">
        <f t="shared" si="1"/>
        <v>2353300.0000000028</v>
      </c>
      <c r="Q23" s="16">
        <f t="shared" si="2"/>
        <v>18585001.760000002</v>
      </c>
      <c r="R23" s="16"/>
      <c r="S23" s="17">
        <f t="shared" si="3"/>
        <v>7.8974213912378275</v>
      </c>
      <c r="T23" s="17">
        <f t="shared" si="4"/>
        <v>6.8107397271915957</v>
      </c>
      <c r="U23" s="9">
        <v>0</v>
      </c>
      <c r="V23" s="26">
        <f>Table226[[#This Row],[IEX-Value
(Rs.)]]+Table226[[#This Row],[Wheeling /CSS/AS]]</f>
        <v>4364381.76</v>
      </c>
      <c r="W23" s="26">
        <f>Table226[[#This Row],[Column1]]/Table226[[#This Row],[OA Considered
IEX (Kvah)]]</f>
        <v>7.4812629269337902</v>
      </c>
    </row>
    <row r="24" spans="2:23" x14ac:dyDescent="0.35">
      <c r="B24" s="8">
        <v>46023</v>
      </c>
      <c r="C24" s="9" t="s">
        <v>23</v>
      </c>
      <c r="D24" s="9">
        <v>5700</v>
      </c>
      <c r="E24" s="10">
        <v>4299</v>
      </c>
      <c r="F24" s="9">
        <v>1959286</v>
      </c>
      <c r="G24" s="12">
        <v>317122.50000000006</v>
      </c>
      <c r="H24" s="9">
        <v>299614</v>
      </c>
      <c r="I24" s="12">
        <v>1754588.4999999998</v>
      </c>
      <c r="J24" s="12">
        <v>443428</v>
      </c>
      <c r="K24" s="12">
        <v>2617408.08</v>
      </c>
      <c r="L24" s="12">
        <v>16811562</v>
      </c>
      <c r="M24" s="12">
        <v>104220</v>
      </c>
      <c r="N24" s="9">
        <v>16144</v>
      </c>
      <c r="O24" s="15">
        <f t="shared" si="0"/>
        <v>2379264</v>
      </c>
      <c r="P24" s="16">
        <f t="shared" si="1"/>
        <v>2258900</v>
      </c>
      <c r="Q24" s="16">
        <f t="shared" si="2"/>
        <v>18122722.5</v>
      </c>
      <c r="R24" s="16"/>
      <c r="S24" s="17">
        <f t="shared" si="3"/>
        <v>8.0228086679357205</v>
      </c>
      <c r="T24" s="17">
        <f t="shared" si="4"/>
        <v>6.8640995263181193</v>
      </c>
      <c r="U24" s="9">
        <v>0</v>
      </c>
      <c r="V24" s="26">
        <f>Table226[[#This Row],[IEX-Value
(Rs.)]]+Table226[[#This Row],[Wheeling /CSS/AS]]</f>
        <v>2198016.5</v>
      </c>
      <c r="W24" s="26">
        <f>Table226[[#This Row],[Column1]]/Table226[[#This Row],[OA Considered
IEX (Kvah)]]</f>
        <v>7.3361608603069284</v>
      </c>
    </row>
    <row r="25" spans="2:23" x14ac:dyDescent="0.35">
      <c r="B25" s="8">
        <v>46054</v>
      </c>
      <c r="C25" s="9" t="s">
        <v>23</v>
      </c>
      <c r="D25" s="9">
        <v>5700</v>
      </c>
      <c r="E25" s="10">
        <v>4287</v>
      </c>
      <c r="F25" s="9">
        <v>1705739</v>
      </c>
      <c r="G25" s="9">
        <v>534920</v>
      </c>
      <c r="H25" s="9">
        <v>520761</v>
      </c>
      <c r="I25" s="12">
        <v>3216787.629999999</v>
      </c>
      <c r="J25" s="12">
        <f>Table226[[#This Row],[OA Considered
IEX (Kvah)]]*1.48</f>
        <v>770726.28</v>
      </c>
      <c r="K25" s="12">
        <v>1390806.35</v>
      </c>
      <c r="L25" s="12">
        <v>14513355</v>
      </c>
      <c r="M25" s="12">
        <v>106384.62</v>
      </c>
      <c r="N25" s="9">
        <v>31377</v>
      </c>
      <c r="O25" s="15">
        <f t="shared" si="0"/>
        <v>2364261.62</v>
      </c>
      <c r="P25" s="16">
        <f t="shared" si="1"/>
        <v>2226500</v>
      </c>
      <c r="Q25" s="16">
        <f t="shared" si="2"/>
        <v>16959416.349999998</v>
      </c>
      <c r="R25" s="16"/>
      <c r="S25" s="17">
        <f t="shared" si="3"/>
        <v>7.6170744891084654</v>
      </c>
      <c r="T25" s="17">
        <f t="shared" si="4"/>
        <v>6.9924141028520088</v>
      </c>
      <c r="U25" s="9">
        <v>0</v>
      </c>
      <c r="V25" s="26">
        <f>Table226[[#This Row],[IEX-Value
(Rs.)]]+Table226[[#This Row],[Wheeling /CSS/AS]]</f>
        <v>3987513.9099999992</v>
      </c>
      <c r="W25" s="26">
        <f>Table226[[#This Row],[Column1]]/Table226[[#This Row],[OA Considered
IEX (Kvah)]]</f>
        <v>7.6570901238764026</v>
      </c>
    </row>
    <row r="26" spans="2:23" x14ac:dyDescent="0.35">
      <c r="B26" s="8">
        <v>46082</v>
      </c>
      <c r="C26" s="9" t="s">
        <v>23</v>
      </c>
      <c r="D26" s="9">
        <v>5700</v>
      </c>
      <c r="E26" s="10">
        <v>4829.6000000000004</v>
      </c>
      <c r="F26" s="9">
        <v>1882828</v>
      </c>
      <c r="G26" s="18">
        <v>645225</v>
      </c>
      <c r="H26" s="9">
        <v>608372</v>
      </c>
      <c r="I26" s="18">
        <v>3700840</v>
      </c>
      <c r="J26" s="12">
        <v>900390</v>
      </c>
      <c r="K26" s="12">
        <v>1311403.04</v>
      </c>
      <c r="L26" s="12">
        <v>15803437</v>
      </c>
      <c r="M26" s="12">
        <v>127869</v>
      </c>
      <c r="N26" s="9">
        <v>120891</v>
      </c>
      <c r="O26" s="15">
        <f t="shared" si="0"/>
        <v>2739960</v>
      </c>
      <c r="P26" s="16">
        <f t="shared" si="1"/>
        <v>2491200</v>
      </c>
      <c r="Q26" s="16">
        <f t="shared" si="2"/>
        <v>18603887</v>
      </c>
      <c r="R26" s="16"/>
      <c r="S26" s="17">
        <f t="shared" si="3"/>
        <v>7.4678416024405907</v>
      </c>
      <c r="T26" s="17">
        <f t="shared" si="4"/>
        <v>6.9414274084778427</v>
      </c>
      <c r="U26" s="9">
        <v>0</v>
      </c>
      <c r="V26" s="26">
        <f>Table226[[#This Row],[IEX-Value
(Rs.)]]+Table226[[#This Row],[Wheeling /CSS/AS]]</f>
        <v>4601230</v>
      </c>
      <c r="W26" s="26">
        <f>Table226[[#This Row],[Column1]]/Table226[[#This Row],[OA Considered
IEX (Kvah)]]</f>
        <v>7.5631850249518386</v>
      </c>
    </row>
    <row r="27" spans="2:23" x14ac:dyDescent="0.35">
      <c r="B27" s="8">
        <v>46113</v>
      </c>
      <c r="C27" s="19" t="s">
        <v>23</v>
      </c>
      <c r="D27" s="9">
        <v>5700</v>
      </c>
      <c r="E27" s="10">
        <v>5333</v>
      </c>
      <c r="F27" s="9">
        <v>2118102</v>
      </c>
      <c r="G27" s="9">
        <v>615800</v>
      </c>
      <c r="H27" s="9">
        <v>606398</v>
      </c>
      <c r="I27" s="9">
        <v>2360998.4700000002</v>
      </c>
      <c r="J27" s="12">
        <v>897469</v>
      </c>
      <c r="K27" s="12">
        <v>1396127</v>
      </c>
      <c r="L27" s="12">
        <f>15659595+Table226[[#This Row],[Remarks
(ICD/ACD/Or any)]]</f>
        <v>17582899</v>
      </c>
      <c r="M27" s="12">
        <v>129612</v>
      </c>
      <c r="N27" s="9">
        <v>50210</v>
      </c>
      <c r="O27" s="15">
        <f t="shared" si="0"/>
        <v>2904322</v>
      </c>
      <c r="P27" s="15">
        <f t="shared" si="1"/>
        <v>2724500</v>
      </c>
      <c r="Q27" s="15">
        <f t="shared" si="2"/>
        <v>19046428.469999999</v>
      </c>
      <c r="R27" s="15"/>
      <c r="S27" s="20">
        <f t="shared" si="3"/>
        <v>6.9907977500458793</v>
      </c>
      <c r="T27" s="20">
        <f t="shared" si="4"/>
        <v>6.4783635419342991</v>
      </c>
      <c r="U27" s="9">
        <v>1923304</v>
      </c>
      <c r="V27" s="26">
        <f>Table226[[#This Row],[IEX-Value
(Rs.)]]+Table226[[#This Row],[Wheeling /CSS/AS]]</f>
        <v>3258467.47</v>
      </c>
      <c r="W27" s="26">
        <f>Table226[[#This Row],[Column1]]/Table226[[#This Row],[OA Considered
IEX (Kvah)]]</f>
        <v>5.3734799092345291</v>
      </c>
    </row>
    <row r="28" spans="2:23" x14ac:dyDescent="0.35">
      <c r="B28" s="8">
        <v>46143</v>
      </c>
      <c r="C28" s="19" t="s">
        <v>23</v>
      </c>
      <c r="D28" s="9">
        <v>5700</v>
      </c>
      <c r="E28" s="10">
        <v>5308</v>
      </c>
      <c r="F28" s="9">
        <v>2488936</v>
      </c>
      <c r="G28" s="9">
        <v>586505</v>
      </c>
      <c r="H28" s="9">
        <v>577664</v>
      </c>
      <c r="I28" s="9">
        <v>3154073.65</v>
      </c>
      <c r="J28" s="12">
        <v>854942.71999999997</v>
      </c>
      <c r="K28" s="12">
        <v>660787.4</v>
      </c>
      <c r="L28" s="12">
        <v>19007727.129999999</v>
      </c>
      <c r="M28" s="12">
        <v>112819</v>
      </c>
      <c r="N28" s="9">
        <v>93440</v>
      </c>
      <c r="O28" s="15">
        <f t="shared" si="0"/>
        <v>3272859</v>
      </c>
      <c r="P28" s="15">
        <f t="shared" si="1"/>
        <v>3066600</v>
      </c>
      <c r="Q28" s="15">
        <f t="shared" si="2"/>
        <v>21306858.059999999</v>
      </c>
      <c r="R28" s="15"/>
      <c r="S28" s="20">
        <f t="shared" si="3"/>
        <v>6.9480395421639596</v>
      </c>
      <c r="T28" s="20">
        <f t="shared" si="4"/>
        <v>6.732560705667515</v>
      </c>
      <c r="U28" s="9">
        <v>0</v>
      </c>
      <c r="V28" s="26">
        <f>Table226[[#This Row],[IEX-Value
(Rs.)]]+Table226[[#This Row],[Wheeling /CSS/AS]]</f>
        <v>4009016.37</v>
      </c>
      <c r="W28" s="26">
        <f>Table226[[#This Row],[Column1]]/Table226[[#This Row],[OA Considered
IEX (Kvah)]]</f>
        <v>6.9400488346166629</v>
      </c>
    </row>
    <row r="29" spans="2:23" x14ac:dyDescent="0.35">
      <c r="B29" s="27">
        <v>46174</v>
      </c>
      <c r="C29" s="19" t="s">
        <v>23</v>
      </c>
      <c r="D29" s="9">
        <v>5700</v>
      </c>
      <c r="E29" s="10">
        <v>5098</v>
      </c>
      <c r="F29" s="9">
        <v>2274764</v>
      </c>
      <c r="G29" s="18">
        <v>633594.99999999965</v>
      </c>
      <c r="H29" s="9">
        <v>632236</v>
      </c>
      <c r="I29" s="18">
        <v>3248887.3899999992</v>
      </c>
      <c r="J29" s="12">
        <v>935709</v>
      </c>
      <c r="K29" s="12">
        <v>1501607.49</v>
      </c>
      <c r="L29" s="12">
        <v>18239157</v>
      </c>
      <c r="M29" s="12">
        <v>103472</v>
      </c>
      <c r="N29" s="9">
        <v>60343</v>
      </c>
      <c r="O29" s="28">
        <f t="shared" si="0"/>
        <v>3070815</v>
      </c>
      <c r="P29" s="28">
        <f t="shared" si="1"/>
        <v>2907000</v>
      </c>
      <c r="Q29" s="28">
        <f t="shared" si="2"/>
        <v>20552335.390000001</v>
      </c>
      <c r="R29" s="28"/>
      <c r="S29" s="29">
        <f t="shared" si="3"/>
        <v>7.0699468145854834</v>
      </c>
      <c r="T29" s="29">
        <f t="shared" si="4"/>
        <v>6.5533979704162375</v>
      </c>
      <c r="U29" s="30">
        <v>0</v>
      </c>
    </row>
    <row r="31" spans="2:23" x14ac:dyDescent="0.35">
      <c r="J31" s="43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63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6813-C99A-4413-AB9A-DEEB25A77EB2}">
  <dimension ref="B2:Z32"/>
  <sheetViews>
    <sheetView topLeftCell="A21" workbookViewId="0">
      <selection activeCell="X32" sqref="X32"/>
    </sheetView>
  </sheetViews>
  <sheetFormatPr defaultColWidth="9" defaultRowHeight="14.5" x14ac:dyDescent="0.35"/>
  <cols>
    <col min="1" max="1" width="0.1796875" style="7" customWidth="1"/>
    <col min="2" max="2" width="10.54296875" style="7" customWidth="1"/>
    <col min="3" max="3" width="11.6328125" style="7" customWidth="1"/>
    <col min="4" max="4" width="6.54296875" style="7" customWidth="1"/>
    <col min="5" max="5" width="6.54296875" style="7" bestFit="1" customWidth="1"/>
    <col min="6" max="6" width="8.1796875" style="7" customWidth="1"/>
    <col min="7" max="7" width="7.453125" style="7" bestFit="1" customWidth="1"/>
    <col min="8" max="10" width="8" style="7" bestFit="1" customWidth="1"/>
    <col min="11" max="11" width="8.453125" style="7" bestFit="1" customWidth="1"/>
    <col min="12" max="12" width="8.54296875" style="7" bestFit="1" customWidth="1"/>
    <col min="13" max="13" width="10.81640625" style="7" bestFit="1" customWidth="1"/>
    <col min="14" max="14" width="9.6328125" style="7" bestFit="1" customWidth="1"/>
    <col min="15" max="15" width="9.453125" style="7" bestFit="1" customWidth="1"/>
    <col min="16" max="16" width="9" style="7" bestFit="1"/>
    <col min="17" max="17" width="7" style="7" bestFit="1" customWidth="1"/>
    <col min="18" max="18" width="6.453125" style="7" bestFit="1" customWidth="1"/>
    <col min="19" max="20" width="7" style="7" bestFit="1" customWidth="1"/>
    <col min="21" max="21" width="8.7265625" style="7" customWidth="1"/>
    <col min="22" max="22" width="7.81640625" style="7" bestFit="1" customWidth="1"/>
    <col min="23" max="23" width="8.81640625" style="7" bestFit="1" customWidth="1"/>
    <col min="24" max="24" width="9.81640625" style="7" customWidth="1"/>
    <col min="25" max="25" width="8.81640625" style="7" customWidth="1"/>
    <col min="26" max="26" width="9" style="7" bestFit="1"/>
    <col min="27" max="16384" width="9" style="7"/>
  </cols>
  <sheetData>
    <row r="2" spans="2:26" ht="65" x14ac:dyDescent="0.35">
      <c r="B2" s="14" t="s">
        <v>24</v>
      </c>
      <c r="C2" s="14" t="s">
        <v>25</v>
      </c>
      <c r="D2" s="14" t="s">
        <v>11</v>
      </c>
      <c r="E2" s="14" t="s">
        <v>10</v>
      </c>
      <c r="F2" s="14" t="s">
        <v>12</v>
      </c>
      <c r="G2" s="14" t="s">
        <v>13</v>
      </c>
      <c r="H2" s="14" t="s">
        <v>33</v>
      </c>
      <c r="I2" s="14" t="s">
        <v>34</v>
      </c>
      <c r="J2" s="14" t="s">
        <v>35</v>
      </c>
      <c r="K2" s="14" t="s">
        <v>32</v>
      </c>
      <c r="L2" s="14" t="s">
        <v>31</v>
      </c>
      <c r="M2" s="14" t="s">
        <v>7</v>
      </c>
      <c r="N2" s="14" t="s">
        <v>17</v>
      </c>
      <c r="O2" s="14" t="s">
        <v>4</v>
      </c>
      <c r="P2" s="14" t="s">
        <v>36</v>
      </c>
      <c r="Q2" s="14" t="s">
        <v>30</v>
      </c>
      <c r="R2" s="14" t="s">
        <v>20</v>
      </c>
      <c r="S2" s="14" t="s">
        <v>29</v>
      </c>
      <c r="T2" s="14" t="s">
        <v>28</v>
      </c>
      <c r="U2" s="14" t="s">
        <v>37</v>
      </c>
      <c r="V2" s="14" t="s">
        <v>27</v>
      </c>
      <c r="W2" s="14" t="s">
        <v>26</v>
      </c>
      <c r="X2" s="14" t="s">
        <v>38</v>
      </c>
      <c r="Y2" s="14" t="s">
        <v>39</v>
      </c>
      <c r="Z2" s="14" t="s">
        <v>21</v>
      </c>
    </row>
    <row r="3" spans="2:26" x14ac:dyDescent="0.35">
      <c r="B3" s="8">
        <v>45383</v>
      </c>
      <c r="C3" s="9" t="s">
        <v>40</v>
      </c>
      <c r="D3" s="9">
        <v>5499</v>
      </c>
      <c r="E3" s="12">
        <v>5106</v>
      </c>
      <c r="F3" s="11" t="str">
        <f>IF(Table224[[#This Row],[RMD
(KVA)]]&gt;Table224[[#This Row],[CMD
(KVA)]],Table224[[#This Row],[RMD
(KVA)]]-Table224[[#This Row],[CMD
(KVA)]],"")</f>
        <v/>
      </c>
      <c r="G3" s="9"/>
      <c r="H3" s="9">
        <v>2954400</v>
      </c>
      <c r="I3" s="9">
        <v>1005183</v>
      </c>
      <c r="J3" s="9">
        <v>1296570</v>
      </c>
      <c r="K3" s="9">
        <v>0</v>
      </c>
      <c r="L3" s="9">
        <v>0</v>
      </c>
      <c r="M3" s="9">
        <v>0</v>
      </c>
      <c r="N3" s="9">
        <v>0</v>
      </c>
      <c r="O3" s="9">
        <v>1211140</v>
      </c>
      <c r="P3" s="12">
        <v>19418802</v>
      </c>
      <c r="Q3" s="9">
        <v>0</v>
      </c>
      <c r="R3" s="9">
        <v>0</v>
      </c>
      <c r="S3" s="9">
        <v>148015</v>
      </c>
      <c r="T3" s="9">
        <v>28693</v>
      </c>
      <c r="U3" s="15">
        <f>H3+L3+S3+T3</f>
        <v>3131108</v>
      </c>
      <c r="V3" s="16">
        <f t="shared" ref="V3:V28" si="0">H3+L3</f>
        <v>2954400</v>
      </c>
      <c r="W3" s="16">
        <f t="shared" ref="W3:W26" si="1">(M3-N3)+P3</f>
        <v>19418802</v>
      </c>
      <c r="X3" s="17">
        <f t="shared" ref="X3:X28" si="2">W3/V3</f>
        <v>6.5728411860276195</v>
      </c>
      <c r="Y3" s="17">
        <f t="shared" ref="Y3:Y28" si="3">(W3-O3)/V3</f>
        <v>6.1628966964527487</v>
      </c>
      <c r="Z3" s="9">
        <v>2453615</v>
      </c>
    </row>
    <row r="4" spans="2:26" x14ac:dyDescent="0.35">
      <c r="B4" s="8">
        <v>45413</v>
      </c>
      <c r="C4" s="9" t="s">
        <v>40</v>
      </c>
      <c r="D4" s="9">
        <v>5499</v>
      </c>
      <c r="E4" s="12">
        <v>5214</v>
      </c>
      <c r="F4" s="11" t="str">
        <f>IF(Table224[[#This Row],[RMD
(KVA)]]&gt;Table224[[#This Row],[CMD
(KVA)]],Table224[[#This Row],[RMD
(KVA)]]-Table224[[#This Row],[CMD
(KVA)]],"")</f>
        <v/>
      </c>
      <c r="G4" s="9"/>
      <c r="H4" s="9">
        <v>3157944</v>
      </c>
      <c r="I4" s="9">
        <v>1068864</v>
      </c>
      <c r="J4" s="9">
        <v>1398933</v>
      </c>
      <c r="K4" s="9">
        <v>0</v>
      </c>
      <c r="L4" s="9">
        <v>0</v>
      </c>
      <c r="M4" s="9">
        <v>0</v>
      </c>
      <c r="N4" s="9">
        <v>0</v>
      </c>
      <c r="O4" s="9">
        <v>1181760</v>
      </c>
      <c r="P4" s="12">
        <v>23116095</v>
      </c>
      <c r="Q4" s="9">
        <v>0</v>
      </c>
      <c r="R4" s="9">
        <v>0</v>
      </c>
      <c r="S4" s="9">
        <v>135108</v>
      </c>
      <c r="T4" s="9">
        <v>3935</v>
      </c>
      <c r="U4" s="15">
        <f t="shared" ref="U4:U28" si="4">H4+L4+S4+T4</f>
        <v>3296987</v>
      </c>
      <c r="V4" s="16">
        <f t="shared" si="0"/>
        <v>3157944</v>
      </c>
      <c r="W4" s="16">
        <f t="shared" si="1"/>
        <v>23116095</v>
      </c>
      <c r="X4" s="17">
        <f t="shared" si="2"/>
        <v>7.3199825582720912</v>
      </c>
      <c r="Y4" s="17">
        <f t="shared" si="3"/>
        <v>6.945764396075421</v>
      </c>
      <c r="Z4" s="9"/>
    </row>
    <row r="5" spans="2:26" x14ac:dyDescent="0.35">
      <c r="B5" s="8">
        <v>45444</v>
      </c>
      <c r="C5" s="9" t="s">
        <v>40</v>
      </c>
      <c r="D5" s="9">
        <v>5499</v>
      </c>
      <c r="E5" s="12">
        <v>5400</v>
      </c>
      <c r="F5" s="11" t="str">
        <f>IF(Table224[[#This Row],[RMD
(KVA)]]&gt;Table224[[#This Row],[CMD
(KVA)]],Table224[[#This Row],[RMD
(KVA)]]-Table224[[#This Row],[CMD
(KVA)]],"")</f>
        <v/>
      </c>
      <c r="G5" s="9"/>
      <c r="H5" s="9">
        <v>2983344</v>
      </c>
      <c r="I5" s="9">
        <v>1013733</v>
      </c>
      <c r="J5" s="9">
        <v>1320537</v>
      </c>
      <c r="K5" s="9">
        <v>0</v>
      </c>
      <c r="L5" s="9">
        <v>0</v>
      </c>
      <c r="M5" s="9">
        <v>0</v>
      </c>
      <c r="N5" s="9">
        <v>0</v>
      </c>
      <c r="O5" s="9">
        <v>1263177</v>
      </c>
      <c r="P5" s="12">
        <v>21723543</v>
      </c>
      <c r="Q5" s="9">
        <v>0</v>
      </c>
      <c r="R5" s="9">
        <v>0</v>
      </c>
      <c r="S5" s="9">
        <v>108614</v>
      </c>
      <c r="T5" s="9">
        <v>130769</v>
      </c>
      <c r="U5" s="15">
        <f t="shared" si="4"/>
        <v>3222727</v>
      </c>
      <c r="V5" s="16">
        <f t="shared" si="0"/>
        <v>2983344</v>
      </c>
      <c r="W5" s="16">
        <f t="shared" si="1"/>
        <v>21723543</v>
      </c>
      <c r="X5" s="17">
        <f t="shared" si="2"/>
        <v>7.2816084903383587</v>
      </c>
      <c r="Y5" s="17">
        <f t="shared" si="3"/>
        <v>6.8581987192894953</v>
      </c>
      <c r="Z5" s="9"/>
    </row>
    <row r="6" spans="2:26" x14ac:dyDescent="0.35">
      <c r="B6" s="8">
        <v>45474</v>
      </c>
      <c r="C6" s="9" t="s">
        <v>40</v>
      </c>
      <c r="D6" s="9">
        <v>5499</v>
      </c>
      <c r="E6" s="12">
        <v>5334</v>
      </c>
      <c r="F6" s="11" t="str">
        <f>IF(Table224[[#This Row],[RMD
(KVA)]]&gt;Table224[[#This Row],[CMD
(KVA)]],Table224[[#This Row],[RMD
(KVA)]]-Table224[[#This Row],[CMD
(KVA)]],"")</f>
        <v/>
      </c>
      <c r="G6" s="9"/>
      <c r="H6" s="9">
        <v>3280392</v>
      </c>
      <c r="I6" s="9">
        <v>1109100</v>
      </c>
      <c r="J6" s="9">
        <v>1450590</v>
      </c>
      <c r="K6" s="9">
        <v>0</v>
      </c>
      <c r="L6" s="9">
        <v>0</v>
      </c>
      <c r="M6" s="9">
        <v>0</v>
      </c>
      <c r="N6" s="9">
        <v>0</v>
      </c>
      <c r="O6" s="9">
        <v>1193337</v>
      </c>
      <c r="P6" s="12">
        <v>23375539</v>
      </c>
      <c r="Q6" s="9">
        <v>0</v>
      </c>
      <c r="R6" s="9">
        <v>0</v>
      </c>
      <c r="S6" s="9">
        <v>106410</v>
      </c>
      <c r="T6" s="9">
        <v>42294</v>
      </c>
      <c r="U6" s="15">
        <f t="shared" si="4"/>
        <v>3429096</v>
      </c>
      <c r="V6" s="16">
        <f t="shared" si="0"/>
        <v>3280392</v>
      </c>
      <c r="W6" s="16">
        <f t="shared" si="1"/>
        <v>23375539</v>
      </c>
      <c r="X6" s="17">
        <f t="shared" si="2"/>
        <v>7.1258370950788805</v>
      </c>
      <c r="Y6" s="17">
        <f t="shared" si="3"/>
        <v>6.7620583149818678</v>
      </c>
      <c r="Z6" s="9"/>
    </row>
    <row r="7" spans="2:26" x14ac:dyDescent="0.35">
      <c r="B7" s="8">
        <v>45505</v>
      </c>
      <c r="C7" s="9" t="s">
        <v>40</v>
      </c>
      <c r="D7" s="9">
        <v>5499</v>
      </c>
      <c r="E7" s="12">
        <v>5268</v>
      </c>
      <c r="F7" s="11" t="str">
        <f>IF(Table224[[#This Row],[RMD
(KVA)]]&gt;Table224[[#This Row],[CMD
(KVA)]],Table224[[#This Row],[RMD
(KVA)]]-Table224[[#This Row],[CMD
(KVA)]],"")</f>
        <v/>
      </c>
      <c r="G7" s="9"/>
      <c r="H7" s="9">
        <v>3291168</v>
      </c>
      <c r="I7" s="9">
        <v>1119990</v>
      </c>
      <c r="J7" s="9">
        <v>1464180</v>
      </c>
      <c r="K7" s="9">
        <v>0</v>
      </c>
      <c r="L7" s="9">
        <v>0</v>
      </c>
      <c r="M7" s="9">
        <v>0</v>
      </c>
      <c r="N7" s="9">
        <v>0</v>
      </c>
      <c r="O7" s="9">
        <v>1312156</v>
      </c>
      <c r="P7" s="12">
        <v>23527285</v>
      </c>
      <c r="Q7" s="9">
        <v>0</v>
      </c>
      <c r="R7" s="9">
        <v>0</v>
      </c>
      <c r="S7" s="9">
        <v>128671</v>
      </c>
      <c r="T7" s="9">
        <v>57955</v>
      </c>
      <c r="U7" s="15">
        <f t="shared" si="4"/>
        <v>3477794</v>
      </c>
      <c r="V7" s="16">
        <f t="shared" si="0"/>
        <v>3291168</v>
      </c>
      <c r="W7" s="16">
        <f t="shared" si="1"/>
        <v>23527285</v>
      </c>
      <c r="X7" s="17">
        <f t="shared" si="2"/>
        <v>7.1486125898161381</v>
      </c>
      <c r="Y7" s="17">
        <f t="shared" si="3"/>
        <v>6.7499225199078259</v>
      </c>
      <c r="Z7" s="9"/>
    </row>
    <row r="8" spans="2:26" x14ac:dyDescent="0.35">
      <c r="B8" s="8">
        <v>45536</v>
      </c>
      <c r="C8" s="9" t="s">
        <v>40</v>
      </c>
      <c r="D8" s="9">
        <v>6499</v>
      </c>
      <c r="E8" s="12">
        <v>5484</v>
      </c>
      <c r="F8" s="11" t="str">
        <f>IF(Table224[[#This Row],[RMD
(KVA)]]&gt;Table224[[#This Row],[CMD
(KVA)]],Table224[[#This Row],[RMD
(KVA)]]-Table224[[#This Row],[CMD
(KVA)]],"")</f>
        <v/>
      </c>
      <c r="G8" s="9"/>
      <c r="H8" s="9">
        <v>3242592</v>
      </c>
      <c r="I8" s="9">
        <v>1100460</v>
      </c>
      <c r="J8" s="9">
        <v>1449210</v>
      </c>
      <c r="K8" s="9">
        <v>0</v>
      </c>
      <c r="L8" s="9">
        <v>0</v>
      </c>
      <c r="M8" s="9">
        <v>0</v>
      </c>
      <c r="N8" s="9">
        <v>0</v>
      </c>
      <c r="O8" s="9">
        <v>1316467</v>
      </c>
      <c r="P8" s="12">
        <v>23897633</v>
      </c>
      <c r="Q8" s="9">
        <v>0</v>
      </c>
      <c r="R8" s="9">
        <v>0</v>
      </c>
      <c r="S8" s="9">
        <v>123012</v>
      </c>
      <c r="T8" s="9">
        <v>41514</v>
      </c>
      <c r="U8" s="15">
        <f t="shared" si="4"/>
        <v>3407118</v>
      </c>
      <c r="V8" s="16">
        <f t="shared" si="0"/>
        <v>3242592</v>
      </c>
      <c r="W8" s="16">
        <f t="shared" si="1"/>
        <v>23897633</v>
      </c>
      <c r="X8" s="17">
        <f t="shared" si="2"/>
        <v>7.3699167209442322</v>
      </c>
      <c r="Y8" s="17">
        <f t="shared" si="3"/>
        <v>6.9639245393808409</v>
      </c>
      <c r="Z8" s="9"/>
    </row>
    <row r="9" spans="2:26" x14ac:dyDescent="0.35">
      <c r="B9" s="8">
        <v>45566</v>
      </c>
      <c r="C9" s="9" t="s">
        <v>40</v>
      </c>
      <c r="D9" s="9">
        <v>6499</v>
      </c>
      <c r="E9" s="12">
        <v>5598</v>
      </c>
      <c r="F9" s="11" t="str">
        <f>IF(Table224[[#This Row],[RMD
(KVA)]]&gt;Table224[[#This Row],[CMD
(KVA)]],Table224[[#This Row],[RMD
(KVA)]]-Table224[[#This Row],[CMD
(KVA)]],"")</f>
        <v/>
      </c>
      <c r="G9" s="9"/>
      <c r="H9" s="9">
        <v>3345024</v>
      </c>
      <c r="I9" s="9">
        <v>1114050</v>
      </c>
      <c r="J9" s="9">
        <v>1508520</v>
      </c>
      <c r="K9" s="9">
        <v>0</v>
      </c>
      <c r="L9" s="9">
        <v>0</v>
      </c>
      <c r="M9" s="9">
        <v>0</v>
      </c>
      <c r="N9" s="9">
        <v>0</v>
      </c>
      <c r="O9" s="9">
        <v>1297036</v>
      </c>
      <c r="P9" s="12">
        <v>24505374</v>
      </c>
      <c r="Q9" s="9">
        <v>0</v>
      </c>
      <c r="R9" s="9">
        <v>0</v>
      </c>
      <c r="S9" s="9">
        <v>110271</v>
      </c>
      <c r="T9" s="9">
        <v>25572</v>
      </c>
      <c r="U9" s="15">
        <f t="shared" si="4"/>
        <v>3480867</v>
      </c>
      <c r="V9" s="16">
        <f t="shared" si="0"/>
        <v>3345024</v>
      </c>
      <c r="W9" s="16">
        <f t="shared" si="1"/>
        <v>24505374</v>
      </c>
      <c r="X9" s="17">
        <f t="shared" si="2"/>
        <v>7.3259187378027777</v>
      </c>
      <c r="Y9" s="17">
        <f t="shared" si="3"/>
        <v>6.9381678576895114</v>
      </c>
      <c r="Z9" s="9"/>
    </row>
    <row r="10" spans="2:26" x14ac:dyDescent="0.35">
      <c r="B10" s="8">
        <v>45597</v>
      </c>
      <c r="C10" s="9" t="s">
        <v>40</v>
      </c>
      <c r="D10" s="9">
        <v>6499</v>
      </c>
      <c r="E10" s="12">
        <v>5862</v>
      </c>
      <c r="F10" s="11" t="str">
        <f>IF(Table224[[#This Row],[RMD
(KVA)]]&gt;Table224[[#This Row],[CMD
(KVA)]],Table224[[#This Row],[RMD
(KVA)]]-Table224[[#This Row],[CMD
(KVA)]],"")</f>
        <v/>
      </c>
      <c r="G10" s="9"/>
      <c r="H10" s="9">
        <v>3423720</v>
      </c>
      <c r="I10" s="9">
        <v>1147140</v>
      </c>
      <c r="J10" s="9">
        <v>1529940</v>
      </c>
      <c r="K10" s="9">
        <v>0</v>
      </c>
      <c r="L10" s="9">
        <v>0</v>
      </c>
      <c r="M10" s="9">
        <v>0</v>
      </c>
      <c r="N10" s="9">
        <v>0</v>
      </c>
      <c r="O10" s="12">
        <v>2811745</v>
      </c>
      <c r="P10" s="12">
        <v>26070114</v>
      </c>
      <c r="Q10" s="9">
        <v>0</v>
      </c>
      <c r="R10" s="9">
        <v>0</v>
      </c>
      <c r="S10" s="9">
        <v>91377</v>
      </c>
      <c r="T10" s="9">
        <v>17060</v>
      </c>
      <c r="U10" s="15">
        <f t="shared" si="4"/>
        <v>3532157</v>
      </c>
      <c r="V10" s="16">
        <f t="shared" si="0"/>
        <v>3423720</v>
      </c>
      <c r="W10" s="16">
        <f t="shared" si="1"/>
        <v>26070114</v>
      </c>
      <c r="X10" s="17">
        <f t="shared" si="2"/>
        <v>7.6145578493568395</v>
      </c>
      <c r="Y10" s="17">
        <f t="shared" si="3"/>
        <v>6.7933034827614405</v>
      </c>
      <c r="Z10" s="9"/>
    </row>
    <row r="11" spans="2:26" x14ac:dyDescent="0.35">
      <c r="B11" s="8">
        <v>45627</v>
      </c>
      <c r="C11" s="9" t="s">
        <v>40</v>
      </c>
      <c r="D11" s="9">
        <v>6499</v>
      </c>
      <c r="E11" s="12">
        <v>6000</v>
      </c>
      <c r="F11" s="11" t="str">
        <f>IF(Table224[[#This Row],[RMD
(KVA)]]&gt;Table224[[#This Row],[CMD
(KVA)]],Table224[[#This Row],[RMD
(KVA)]]-Table224[[#This Row],[CMD
(KVA)]],"")</f>
        <v/>
      </c>
      <c r="G11" s="9"/>
      <c r="H11" s="9">
        <v>3610044</v>
      </c>
      <c r="I11" s="9">
        <v>1217820</v>
      </c>
      <c r="J11" s="9">
        <v>1612920</v>
      </c>
      <c r="K11" s="9">
        <v>0</v>
      </c>
      <c r="L11" s="9">
        <v>0</v>
      </c>
      <c r="M11" s="9">
        <v>0</v>
      </c>
      <c r="N11" s="9">
        <v>0</v>
      </c>
      <c r="O11" s="12">
        <v>4191697.28</v>
      </c>
      <c r="P11" s="12">
        <v>28386259</v>
      </c>
      <c r="Q11" s="9">
        <v>0</v>
      </c>
      <c r="R11" s="9">
        <v>0</v>
      </c>
      <c r="S11" s="9">
        <v>84278</v>
      </c>
      <c r="T11" s="9">
        <v>27868</v>
      </c>
      <c r="U11" s="15">
        <f t="shared" si="4"/>
        <v>3722190</v>
      </c>
      <c r="V11" s="16">
        <f t="shared" si="0"/>
        <v>3610044</v>
      </c>
      <c r="W11" s="16">
        <f t="shared" si="1"/>
        <v>28386259</v>
      </c>
      <c r="X11" s="17">
        <f t="shared" si="2"/>
        <v>7.8631338011392655</v>
      </c>
      <c r="Y11" s="17">
        <f t="shared" si="3"/>
        <v>6.7020129726950692</v>
      </c>
      <c r="Z11" s="9"/>
    </row>
    <row r="12" spans="2:26" x14ac:dyDescent="0.35">
      <c r="B12" s="8">
        <v>45658</v>
      </c>
      <c r="C12" s="9" t="s">
        <v>40</v>
      </c>
      <c r="D12" s="9">
        <v>6499</v>
      </c>
      <c r="E12" s="12">
        <v>5598</v>
      </c>
      <c r="F12" s="11" t="str">
        <f>IF(Table224[[#This Row],[RMD
(KVA)]]&gt;Table224[[#This Row],[CMD
(KVA)]],Table224[[#This Row],[RMD
(KVA)]]-Table224[[#This Row],[CMD
(KVA)]],"")</f>
        <v/>
      </c>
      <c r="G12" s="9"/>
      <c r="H12" s="9">
        <v>3352452</v>
      </c>
      <c r="I12" s="9">
        <v>1127820</v>
      </c>
      <c r="J12" s="9">
        <v>1488240</v>
      </c>
      <c r="K12" s="9">
        <v>0</v>
      </c>
      <c r="L12" s="9">
        <v>0</v>
      </c>
      <c r="M12" s="9">
        <v>0</v>
      </c>
      <c r="N12" s="9">
        <v>0</v>
      </c>
      <c r="O12" s="12">
        <v>4057999</v>
      </c>
      <c r="P12" s="12">
        <v>26781507</v>
      </c>
      <c r="Q12" s="9">
        <v>0</v>
      </c>
      <c r="R12" s="9">
        <v>0</v>
      </c>
      <c r="S12" s="9">
        <v>114575</v>
      </c>
      <c r="T12" s="9">
        <v>4705</v>
      </c>
      <c r="U12" s="15">
        <f t="shared" si="4"/>
        <v>3471732</v>
      </c>
      <c r="V12" s="16">
        <f t="shared" si="0"/>
        <v>3352452</v>
      </c>
      <c r="W12" s="16">
        <f t="shared" si="1"/>
        <v>26781507</v>
      </c>
      <c r="X12" s="17">
        <f t="shared" si="2"/>
        <v>7.9886324994362337</v>
      </c>
      <c r="Y12" s="17">
        <f t="shared" si="3"/>
        <v>6.7781754966215777</v>
      </c>
      <c r="Z12" s="9"/>
    </row>
    <row r="13" spans="2:26" x14ac:dyDescent="0.35">
      <c r="B13" s="8">
        <v>45689</v>
      </c>
      <c r="C13" s="9" t="s">
        <v>40</v>
      </c>
      <c r="D13" s="9">
        <v>6499</v>
      </c>
      <c r="E13" s="12">
        <v>5838</v>
      </c>
      <c r="F13" s="11" t="str">
        <f>IF(Table224[[#This Row],[RMD
(KVA)]]&gt;Table224[[#This Row],[CMD
(KVA)]],Table224[[#This Row],[RMD
(KVA)]]-Table224[[#This Row],[CMD
(KVA)]],"")</f>
        <v/>
      </c>
      <c r="G13" s="9"/>
      <c r="H13" s="9">
        <v>3169080</v>
      </c>
      <c r="I13" s="9">
        <v>1067700</v>
      </c>
      <c r="J13" s="9">
        <v>1408560</v>
      </c>
      <c r="K13" s="9">
        <v>0</v>
      </c>
      <c r="L13" s="9">
        <v>0</v>
      </c>
      <c r="M13" s="9">
        <v>0</v>
      </c>
      <c r="N13" s="9">
        <v>0</v>
      </c>
      <c r="O13" s="12">
        <v>4501137</v>
      </c>
      <c r="P13" s="12">
        <v>26813185</v>
      </c>
      <c r="Q13" s="9">
        <v>0</v>
      </c>
      <c r="R13" s="9">
        <v>0</v>
      </c>
      <c r="S13" s="9">
        <v>132639</v>
      </c>
      <c r="T13" s="9">
        <v>11896</v>
      </c>
      <c r="U13" s="15">
        <f t="shared" si="4"/>
        <v>3313615</v>
      </c>
      <c r="V13" s="16">
        <f t="shared" si="0"/>
        <v>3169080</v>
      </c>
      <c r="W13" s="16">
        <f t="shared" si="1"/>
        <v>26813185</v>
      </c>
      <c r="X13" s="17">
        <f t="shared" si="2"/>
        <v>8.4608735027200321</v>
      </c>
      <c r="Y13" s="17">
        <f t="shared" si="3"/>
        <v>7.0405442589016367</v>
      </c>
      <c r="Z13" s="9"/>
    </row>
    <row r="14" spans="2:26" x14ac:dyDescent="0.35">
      <c r="B14" s="8">
        <v>45717</v>
      </c>
      <c r="C14" s="9" t="s">
        <v>40</v>
      </c>
      <c r="D14" s="9">
        <v>6499</v>
      </c>
      <c r="E14" s="12">
        <v>6276</v>
      </c>
      <c r="F14" s="11" t="str">
        <f>IF(Table224[[#This Row],[RMD
(KVA)]]&gt;Table224[[#This Row],[CMD
(KVA)]],Table224[[#This Row],[RMD
(KVA)]]-Table224[[#This Row],[CMD
(KVA)]],"")</f>
        <v/>
      </c>
      <c r="G14" s="9"/>
      <c r="H14" s="9">
        <v>3788064</v>
      </c>
      <c r="I14" s="9">
        <v>1284870</v>
      </c>
      <c r="J14" s="9">
        <v>1686180</v>
      </c>
      <c r="K14" s="9">
        <v>0</v>
      </c>
      <c r="L14" s="9">
        <v>0</v>
      </c>
      <c r="M14" s="9">
        <v>0</v>
      </c>
      <c r="N14" s="9">
        <v>0</v>
      </c>
      <c r="O14" s="12">
        <v>4409349</v>
      </c>
      <c r="P14" s="12">
        <v>30680275</v>
      </c>
      <c r="Q14" s="9">
        <v>0</v>
      </c>
      <c r="R14" s="9">
        <v>0</v>
      </c>
      <c r="S14" s="9">
        <v>147526</v>
      </c>
      <c r="T14" s="9">
        <v>4979</v>
      </c>
      <c r="U14" s="15">
        <f t="shared" si="4"/>
        <v>3940569</v>
      </c>
      <c r="V14" s="16">
        <f t="shared" si="0"/>
        <v>3788064</v>
      </c>
      <c r="W14" s="16">
        <f t="shared" si="1"/>
        <v>30680275</v>
      </c>
      <c r="X14" s="17">
        <f t="shared" si="2"/>
        <v>8.0991965816839429</v>
      </c>
      <c r="Y14" s="17">
        <f t="shared" si="3"/>
        <v>6.9351853611765799</v>
      </c>
      <c r="Z14" s="9"/>
    </row>
    <row r="15" spans="2:26" x14ac:dyDescent="0.35">
      <c r="B15" s="8">
        <v>45748</v>
      </c>
      <c r="C15" s="9" t="s">
        <v>40</v>
      </c>
      <c r="D15" s="9">
        <v>6499</v>
      </c>
      <c r="E15" s="12">
        <v>6174</v>
      </c>
      <c r="F15" s="11" t="str">
        <f>IF(Table224[[#This Row],[RMD
(KVA)]]&gt;Table224[[#This Row],[CMD
(KVA)]],Table224[[#This Row],[RMD
(KVA)]]-Table224[[#This Row],[CMD
(KVA)]],"")</f>
        <v/>
      </c>
      <c r="G15" s="9"/>
      <c r="H15" s="9">
        <v>3767064</v>
      </c>
      <c r="I15" s="9">
        <v>1272810</v>
      </c>
      <c r="J15" s="9">
        <v>1678530</v>
      </c>
      <c r="K15" s="9">
        <v>0</v>
      </c>
      <c r="L15" s="9">
        <v>0</v>
      </c>
      <c r="M15" s="9">
        <v>0</v>
      </c>
      <c r="N15" s="9">
        <v>0</v>
      </c>
      <c r="O15" s="12">
        <v>4522073</v>
      </c>
      <c r="P15" s="12">
        <v>27974064</v>
      </c>
      <c r="Q15" s="9">
        <v>0</v>
      </c>
      <c r="R15" s="9">
        <v>0</v>
      </c>
      <c r="S15" s="9">
        <v>139948</v>
      </c>
      <c r="T15" s="9">
        <v>6262</v>
      </c>
      <c r="U15" s="15">
        <f t="shared" si="4"/>
        <v>3913274</v>
      </c>
      <c r="V15" s="16">
        <f t="shared" si="0"/>
        <v>3767064</v>
      </c>
      <c r="W15" s="16">
        <f t="shared" si="1"/>
        <v>27974064</v>
      </c>
      <c r="X15" s="17">
        <f t="shared" si="2"/>
        <v>7.4259593147342331</v>
      </c>
      <c r="Y15" s="17">
        <f t="shared" si="3"/>
        <v>6.2255355895201143</v>
      </c>
      <c r="Z15" s="9">
        <v>2633209</v>
      </c>
    </row>
    <row r="16" spans="2:26" x14ac:dyDescent="0.35">
      <c r="B16" s="8">
        <v>45778</v>
      </c>
      <c r="C16" s="9" t="s">
        <v>40</v>
      </c>
      <c r="D16" s="9">
        <v>6499</v>
      </c>
      <c r="E16" s="12">
        <v>6408</v>
      </c>
      <c r="F16" s="11" t="str">
        <f>IF(Table224[[#This Row],[RMD
(KVA)]]&gt;Table224[[#This Row],[CMD
(KVA)]],Table224[[#This Row],[RMD
(KVA)]]-Table224[[#This Row],[CMD
(KVA)]],"")</f>
        <v/>
      </c>
      <c r="G16" s="9"/>
      <c r="H16" s="9">
        <v>3986328</v>
      </c>
      <c r="I16" s="9">
        <v>1333440</v>
      </c>
      <c r="J16" s="9">
        <v>1782300</v>
      </c>
      <c r="K16" s="9">
        <v>0</v>
      </c>
      <c r="L16" s="9">
        <v>0</v>
      </c>
      <c r="M16" s="9">
        <v>0</v>
      </c>
      <c r="N16" s="9">
        <v>0</v>
      </c>
      <c r="O16" s="12">
        <v>4812499</v>
      </c>
      <c r="P16" s="12">
        <v>32116934.670000002</v>
      </c>
      <c r="Q16" s="9">
        <v>0</v>
      </c>
      <c r="R16" s="9">
        <v>0</v>
      </c>
      <c r="S16" s="9">
        <v>120067</v>
      </c>
      <c r="T16" s="9">
        <v>3467</v>
      </c>
      <c r="U16" s="15">
        <f t="shared" si="4"/>
        <v>4109862</v>
      </c>
      <c r="V16" s="16">
        <f t="shared" si="0"/>
        <v>3986328</v>
      </c>
      <c r="W16" s="16">
        <f t="shared" si="1"/>
        <v>32116934.670000002</v>
      </c>
      <c r="X16" s="17">
        <f t="shared" si="2"/>
        <v>8.0567717132157721</v>
      </c>
      <c r="Y16" s="17">
        <f t="shared" si="3"/>
        <v>6.8495205788384705</v>
      </c>
      <c r="Z16" s="9"/>
    </row>
    <row r="17" spans="2:26" x14ac:dyDescent="0.35">
      <c r="B17" s="8">
        <v>45809</v>
      </c>
      <c r="C17" s="9" t="s">
        <v>40</v>
      </c>
      <c r="D17" s="9">
        <v>8000</v>
      </c>
      <c r="E17" s="12">
        <v>6564</v>
      </c>
      <c r="F17" s="9" t="str">
        <f>IF(Table224[[#This Row],[RMD
(KVA)]]&gt;Table224[[#This Row],[CMD
(KVA)]],Table224[[#This Row],[RMD
(KVA)]]-Table224[[#This Row],[CMD
(KVA)]],"")</f>
        <v/>
      </c>
      <c r="G17" s="9"/>
      <c r="H17" s="9">
        <v>3915882</v>
      </c>
      <c r="I17" s="9">
        <v>1314360</v>
      </c>
      <c r="J17" s="9">
        <v>1758540</v>
      </c>
      <c r="K17" s="9">
        <v>0</v>
      </c>
      <c r="L17" s="9">
        <v>0</v>
      </c>
      <c r="M17" s="9">
        <v>0</v>
      </c>
      <c r="N17" s="9">
        <v>0</v>
      </c>
      <c r="O17" s="12">
        <v>4675357</v>
      </c>
      <c r="P17" s="12">
        <v>31001858</v>
      </c>
      <c r="Q17" s="9">
        <v>0</v>
      </c>
      <c r="R17" s="9">
        <v>0</v>
      </c>
      <c r="S17" s="12">
        <v>106661</v>
      </c>
      <c r="T17" s="9">
        <v>35228</v>
      </c>
      <c r="U17" s="15">
        <f t="shared" si="4"/>
        <v>4057771</v>
      </c>
      <c r="V17" s="16">
        <f t="shared" si="0"/>
        <v>3915882</v>
      </c>
      <c r="W17" s="16">
        <f t="shared" si="1"/>
        <v>31001858</v>
      </c>
      <c r="X17" s="17">
        <f t="shared" si="2"/>
        <v>7.9169540859504961</v>
      </c>
      <c r="Y17" s="17">
        <f t="shared" si="3"/>
        <v>6.723006719814336</v>
      </c>
      <c r="Z17" s="9"/>
    </row>
    <row r="18" spans="2:26" x14ac:dyDescent="0.35">
      <c r="B18" s="8">
        <v>45839</v>
      </c>
      <c r="C18" s="9" t="s">
        <v>40</v>
      </c>
      <c r="D18" s="9">
        <v>8000</v>
      </c>
      <c r="E18" s="12">
        <v>6696</v>
      </c>
      <c r="F18" s="11" t="str">
        <f>IF(Table224[[#This Row],[RMD
(KVA)]]&gt;Table224[[#This Row],[CMD
(KVA)]],Table224[[#This Row],[RMD
(KVA)]]-Table224[[#This Row],[CMD
(KVA)]],"")</f>
        <v/>
      </c>
      <c r="G18" s="9"/>
      <c r="H18" s="9">
        <v>4137900</v>
      </c>
      <c r="I18" s="9">
        <v>1388580</v>
      </c>
      <c r="J18" s="9">
        <v>1852890</v>
      </c>
      <c r="K18" s="9">
        <v>0</v>
      </c>
      <c r="L18" s="9">
        <v>0</v>
      </c>
      <c r="M18" s="9">
        <v>0</v>
      </c>
      <c r="N18" s="9">
        <v>0</v>
      </c>
      <c r="O18" s="12">
        <v>4362112</v>
      </c>
      <c r="P18" s="12">
        <v>31997912</v>
      </c>
      <c r="Q18" s="9">
        <v>0</v>
      </c>
      <c r="R18" s="9">
        <v>0</v>
      </c>
      <c r="S18" s="12">
        <v>117398</v>
      </c>
      <c r="T18" s="9">
        <v>3665</v>
      </c>
      <c r="U18" s="15">
        <f t="shared" si="4"/>
        <v>4258963</v>
      </c>
      <c r="V18" s="16">
        <f t="shared" si="0"/>
        <v>4137900</v>
      </c>
      <c r="W18" s="16">
        <f t="shared" si="1"/>
        <v>31997912</v>
      </c>
      <c r="X18" s="17">
        <f t="shared" si="2"/>
        <v>7.7328867299838082</v>
      </c>
      <c r="Y18" s="17">
        <f t="shared" si="3"/>
        <v>6.6787017569298435</v>
      </c>
      <c r="Z18" s="9"/>
    </row>
    <row r="19" spans="2:26" x14ac:dyDescent="0.35">
      <c r="B19" s="8">
        <v>45870</v>
      </c>
      <c r="C19" s="9" t="s">
        <v>40</v>
      </c>
      <c r="D19" s="9">
        <v>8000</v>
      </c>
      <c r="E19" s="12">
        <v>6324</v>
      </c>
      <c r="F19" s="11" t="str">
        <f>IF(Table224[[#This Row],[RMD
(KVA)]]&gt;Table224[[#This Row],[CMD
(KVA)]],Table224[[#This Row],[RMD
(KVA)]]-Table224[[#This Row],[CMD
(KVA)]],"")</f>
        <v/>
      </c>
      <c r="G19" s="9"/>
      <c r="H19" s="9">
        <v>3866850</v>
      </c>
      <c r="I19" s="9">
        <v>1299510</v>
      </c>
      <c r="J19" s="9">
        <v>1724160</v>
      </c>
      <c r="K19" s="9"/>
      <c r="L19" s="9"/>
      <c r="M19" s="12"/>
      <c r="N19" s="9"/>
      <c r="O19" s="12">
        <v>4826739.75</v>
      </c>
      <c r="P19" s="12">
        <v>30730018</v>
      </c>
      <c r="Q19" s="9">
        <v>0</v>
      </c>
      <c r="R19" s="9">
        <v>0</v>
      </c>
      <c r="S19" s="12">
        <v>118918</v>
      </c>
      <c r="T19" s="9">
        <v>10862</v>
      </c>
      <c r="U19" s="15">
        <f t="shared" si="4"/>
        <v>3996630</v>
      </c>
      <c r="V19" s="16">
        <f t="shared" si="0"/>
        <v>3866850</v>
      </c>
      <c r="W19" s="16">
        <f t="shared" si="1"/>
        <v>30730018</v>
      </c>
      <c r="X19" s="17">
        <f t="shared" si="2"/>
        <v>7.9470416488873372</v>
      </c>
      <c r="Y19" s="17">
        <f t="shared" si="3"/>
        <v>6.6988060695398062</v>
      </c>
      <c r="Z19" s="9"/>
    </row>
    <row r="20" spans="2:26" x14ac:dyDescent="0.35">
      <c r="B20" s="8">
        <v>45901</v>
      </c>
      <c r="C20" s="9" t="s">
        <v>40</v>
      </c>
      <c r="D20" s="9">
        <v>8000</v>
      </c>
      <c r="E20" s="12">
        <v>6828</v>
      </c>
      <c r="F20" s="9" t="str">
        <f>IF(Table224[[#This Row],[RMD
(KVA)]]&gt;Table224[[#This Row],[CMD
(KVA)]],Table224[[#This Row],[RMD
(KVA)]]-Table224[[#This Row],[CMD
(KVA)]],"")</f>
        <v/>
      </c>
      <c r="G20" s="9"/>
      <c r="H20" s="9">
        <v>2835751</v>
      </c>
      <c r="I20" s="9">
        <v>934156</v>
      </c>
      <c r="J20" s="9">
        <v>1266997</v>
      </c>
      <c r="K20" s="9">
        <v>880627</v>
      </c>
      <c r="L20" s="9">
        <v>866297</v>
      </c>
      <c r="M20" s="12">
        <v>3317728</v>
      </c>
      <c r="N20" s="9">
        <v>1083941</v>
      </c>
      <c r="O20" s="12">
        <v>4534464</v>
      </c>
      <c r="P20" s="12">
        <v>26183921</v>
      </c>
      <c r="Q20" s="9">
        <v>0</v>
      </c>
      <c r="R20" s="9">
        <v>0</v>
      </c>
      <c r="S20" s="12">
        <v>110325</v>
      </c>
      <c r="T20" s="9">
        <v>27352</v>
      </c>
      <c r="U20" s="15">
        <f t="shared" si="4"/>
        <v>3839725</v>
      </c>
      <c r="V20" s="16">
        <f t="shared" si="0"/>
        <v>3702048</v>
      </c>
      <c r="W20" s="16">
        <f t="shared" si="1"/>
        <v>28417708</v>
      </c>
      <c r="X20" s="17">
        <f t="shared" si="2"/>
        <v>7.6762127341406705</v>
      </c>
      <c r="Y20" s="17">
        <f t="shared" si="3"/>
        <v>6.451359895927876</v>
      </c>
      <c r="Z20" s="9"/>
    </row>
    <row r="21" spans="2:26" x14ac:dyDescent="0.35">
      <c r="B21" s="8">
        <v>45931</v>
      </c>
      <c r="C21" s="9" t="s">
        <v>40</v>
      </c>
      <c r="D21" s="9">
        <v>8000</v>
      </c>
      <c r="E21" s="12">
        <v>6834</v>
      </c>
      <c r="F21" s="9" t="str">
        <f>IF(Table224[[#This Row],[RMD
(KVA)]]&gt;Table224[[#This Row],[CMD
(KVA)]],Table224[[#This Row],[RMD
(KVA)]]-Table224[[#This Row],[CMD
(KVA)]],"")</f>
        <v/>
      </c>
      <c r="G21" s="9"/>
      <c r="H21" s="11">
        <v>2689613</v>
      </c>
      <c r="I21" s="12">
        <v>812140</v>
      </c>
      <c r="J21" s="9">
        <v>1272424</v>
      </c>
      <c r="K21" s="9">
        <v>1404230</v>
      </c>
      <c r="L21" s="9">
        <v>1400731</v>
      </c>
      <c r="M21" s="12">
        <v>5161094</v>
      </c>
      <c r="N21" s="9">
        <v>913416</v>
      </c>
      <c r="O21" s="12">
        <v>3883579</v>
      </c>
      <c r="P21" s="12">
        <v>25449848</v>
      </c>
      <c r="Q21" s="9">
        <v>0</v>
      </c>
      <c r="R21" s="9">
        <v>0</v>
      </c>
      <c r="S21" s="12">
        <v>102908</v>
      </c>
      <c r="T21" s="9">
        <v>25142</v>
      </c>
      <c r="U21" s="15">
        <f t="shared" si="4"/>
        <v>4218394</v>
      </c>
      <c r="V21" s="16">
        <f t="shared" si="0"/>
        <v>4090344</v>
      </c>
      <c r="W21" s="16">
        <f t="shared" si="1"/>
        <v>29697526</v>
      </c>
      <c r="X21" s="17">
        <f t="shared" si="2"/>
        <v>7.2603981474418777</v>
      </c>
      <c r="Y21" s="17">
        <f t="shared" si="3"/>
        <v>6.3109476855736339</v>
      </c>
      <c r="Z21" s="9"/>
    </row>
    <row r="22" spans="2:26" x14ac:dyDescent="0.35">
      <c r="B22" s="8">
        <v>45962</v>
      </c>
      <c r="C22" s="9" t="s">
        <v>40</v>
      </c>
      <c r="D22" s="9">
        <v>8000</v>
      </c>
      <c r="E22" s="12">
        <v>6570</v>
      </c>
      <c r="F22" s="9"/>
      <c r="G22" s="9"/>
      <c r="H22" s="9">
        <v>2243611</v>
      </c>
      <c r="I22" s="9">
        <v>724025</v>
      </c>
      <c r="J22" s="9">
        <v>955732</v>
      </c>
      <c r="K22" s="12">
        <v>1771000</v>
      </c>
      <c r="L22" s="9">
        <v>1771085</v>
      </c>
      <c r="M22" s="12">
        <v>9515381</v>
      </c>
      <c r="N22" s="9">
        <v>1509987</v>
      </c>
      <c r="O22" s="12">
        <v>3612224</v>
      </c>
      <c r="P22" s="12">
        <v>22684601.850000001</v>
      </c>
      <c r="Q22" s="9">
        <v>0</v>
      </c>
      <c r="R22" s="9">
        <v>0</v>
      </c>
      <c r="S22" s="12">
        <v>92033</v>
      </c>
      <c r="T22" s="9">
        <v>0</v>
      </c>
      <c r="U22" s="15">
        <f t="shared" si="4"/>
        <v>4106729</v>
      </c>
      <c r="V22" s="16">
        <f t="shared" si="0"/>
        <v>4014696</v>
      </c>
      <c r="W22" s="16">
        <f t="shared" si="1"/>
        <v>30689995.850000001</v>
      </c>
      <c r="X22" s="17">
        <f t="shared" si="2"/>
        <v>7.6444133877135405</v>
      </c>
      <c r="Y22" s="17">
        <f t="shared" si="3"/>
        <v>6.7446630703794259</v>
      </c>
      <c r="Z22" s="9"/>
    </row>
    <row r="23" spans="2:26" x14ac:dyDescent="0.35">
      <c r="B23" s="8">
        <v>45992</v>
      </c>
      <c r="C23" s="9" t="s">
        <v>40</v>
      </c>
      <c r="D23" s="9">
        <v>8000</v>
      </c>
      <c r="E23" s="12">
        <v>6798</v>
      </c>
      <c r="F23" s="9"/>
      <c r="G23" s="9"/>
      <c r="H23" s="9">
        <v>3166985</v>
      </c>
      <c r="I23" s="9">
        <v>951244</v>
      </c>
      <c r="J23" s="12">
        <v>1559871</v>
      </c>
      <c r="K23" s="13">
        <v>851740</v>
      </c>
      <c r="L23" s="9">
        <v>849943</v>
      </c>
      <c r="M23" s="12">
        <v>5012390</v>
      </c>
      <c r="N23" s="9">
        <v>863395</v>
      </c>
      <c r="O23" s="12">
        <v>3863154</v>
      </c>
      <c r="P23" s="12">
        <v>26867870</v>
      </c>
      <c r="Q23" s="9">
        <v>0</v>
      </c>
      <c r="R23" s="9">
        <v>0</v>
      </c>
      <c r="S23" s="12">
        <v>82134</v>
      </c>
      <c r="T23" s="9">
        <v>23773</v>
      </c>
      <c r="U23" s="15">
        <f t="shared" si="4"/>
        <v>4122835</v>
      </c>
      <c r="V23" s="16">
        <f t="shared" si="0"/>
        <v>4016928</v>
      </c>
      <c r="W23" s="16">
        <f t="shared" si="1"/>
        <v>31016865</v>
      </c>
      <c r="X23" s="17">
        <f t="shared" si="2"/>
        <v>7.7215386982290948</v>
      </c>
      <c r="Y23" s="17">
        <f t="shared" si="3"/>
        <v>6.759820190951892</v>
      </c>
      <c r="Z23" s="9"/>
    </row>
    <row r="24" spans="2:26" x14ac:dyDescent="0.35">
      <c r="B24" s="8">
        <v>46023</v>
      </c>
      <c r="C24" s="9" t="s">
        <v>40</v>
      </c>
      <c r="D24" s="9">
        <v>8000</v>
      </c>
      <c r="E24" s="12">
        <v>6480</v>
      </c>
      <c r="F24" s="9"/>
      <c r="G24" s="9"/>
      <c r="H24" s="9">
        <v>3418890</v>
      </c>
      <c r="I24" s="9">
        <v>1126977</v>
      </c>
      <c r="J24" s="9">
        <v>1620671</v>
      </c>
      <c r="K24" s="12">
        <v>601527</v>
      </c>
      <c r="L24" s="9">
        <v>601470</v>
      </c>
      <c r="M24" s="12">
        <v>2469393</v>
      </c>
      <c r="N24" s="12">
        <v>443428</v>
      </c>
      <c r="O24" s="12">
        <v>3984975</v>
      </c>
      <c r="P24" s="12">
        <v>28084201</v>
      </c>
      <c r="Q24" s="9">
        <v>0</v>
      </c>
      <c r="R24" s="9">
        <v>0</v>
      </c>
      <c r="S24" s="12">
        <v>95957</v>
      </c>
      <c r="T24" s="9">
        <v>0</v>
      </c>
      <c r="U24" s="15">
        <f t="shared" si="4"/>
        <v>4116317</v>
      </c>
      <c r="V24" s="16">
        <f t="shared" si="0"/>
        <v>4020360</v>
      </c>
      <c r="W24" s="16">
        <f t="shared" si="1"/>
        <v>30110166</v>
      </c>
      <c r="X24" s="17">
        <f t="shared" si="2"/>
        <v>7.4894203504163803</v>
      </c>
      <c r="Y24" s="17">
        <f t="shared" si="3"/>
        <v>6.4982218010327433</v>
      </c>
      <c r="Z24" s="9"/>
    </row>
    <row r="25" spans="2:26" x14ac:dyDescent="0.35">
      <c r="B25" s="8">
        <v>46054</v>
      </c>
      <c r="C25" s="9" t="s">
        <v>40</v>
      </c>
      <c r="D25" s="9">
        <v>8000</v>
      </c>
      <c r="E25" s="12">
        <v>6678</v>
      </c>
      <c r="F25" s="9"/>
      <c r="G25" s="9"/>
      <c r="H25" s="9">
        <v>3760104</v>
      </c>
      <c r="I25" s="9">
        <v>803240</v>
      </c>
      <c r="J25" s="9">
        <v>1454585</v>
      </c>
      <c r="K25" s="9">
        <v>862500</v>
      </c>
      <c r="L25" s="9">
        <v>861605</v>
      </c>
      <c r="M25" s="12">
        <v>5168523</v>
      </c>
      <c r="N25" s="12">
        <f>Table224[[#This Row],[OA Considered
IEX (Kvah)]]*1.48</f>
        <v>1275175.3999999999</v>
      </c>
      <c r="O25" s="12">
        <v>2136910</v>
      </c>
      <c r="P25" s="12">
        <v>23847534</v>
      </c>
      <c r="Q25" s="9">
        <v>0</v>
      </c>
      <c r="R25" s="9">
        <v>0</v>
      </c>
      <c r="S25" s="12">
        <v>110577</v>
      </c>
      <c r="T25" s="9">
        <v>3291</v>
      </c>
      <c r="U25" s="15">
        <f t="shared" si="4"/>
        <v>4735577</v>
      </c>
      <c r="V25" s="16">
        <f t="shared" si="0"/>
        <v>4621709</v>
      </c>
      <c r="W25" s="16">
        <f t="shared" si="1"/>
        <v>27740881.600000001</v>
      </c>
      <c r="X25" s="17">
        <f t="shared" si="2"/>
        <v>6.0022994957060263</v>
      </c>
      <c r="Y25" s="17">
        <f t="shared" si="3"/>
        <v>5.5399358981710014</v>
      </c>
      <c r="Z25" s="9"/>
    </row>
    <row r="26" spans="2:26" x14ac:dyDescent="0.35">
      <c r="B26" s="8">
        <v>46082</v>
      </c>
      <c r="C26" s="9" t="s">
        <v>40</v>
      </c>
      <c r="D26" s="9">
        <v>8000</v>
      </c>
      <c r="E26" s="12">
        <v>6786</v>
      </c>
      <c r="F26" s="9"/>
      <c r="G26" s="9"/>
      <c r="H26" s="9">
        <v>3110758</v>
      </c>
      <c r="I26" s="9">
        <v>929387</v>
      </c>
      <c r="J26" s="9">
        <v>1459658</v>
      </c>
      <c r="K26" s="18">
        <v>1042850</v>
      </c>
      <c r="L26" s="9">
        <v>1041994</v>
      </c>
      <c r="M26" s="18">
        <v>4342907</v>
      </c>
      <c r="N26" s="12">
        <v>900390</v>
      </c>
      <c r="O26" s="12">
        <v>1935204</v>
      </c>
      <c r="P26" s="12">
        <v>25407150</v>
      </c>
      <c r="Q26" s="9">
        <v>0</v>
      </c>
      <c r="R26" s="9">
        <v>0</v>
      </c>
      <c r="S26" s="12">
        <v>130969</v>
      </c>
      <c r="T26" s="9">
        <v>0</v>
      </c>
      <c r="U26" s="15">
        <f t="shared" si="4"/>
        <v>4283721</v>
      </c>
      <c r="V26" s="16">
        <f t="shared" si="0"/>
        <v>4152752</v>
      </c>
      <c r="W26" s="16">
        <f t="shared" si="1"/>
        <v>28849667</v>
      </c>
      <c r="X26" s="17">
        <f t="shared" si="2"/>
        <v>6.947120126605201</v>
      </c>
      <c r="Y26" s="17">
        <f t="shared" si="3"/>
        <v>6.4811149329408551</v>
      </c>
      <c r="Z26" s="9"/>
    </row>
    <row r="27" spans="2:26" x14ac:dyDescent="0.35">
      <c r="B27" s="8">
        <v>46113</v>
      </c>
      <c r="C27" s="9" t="s">
        <v>40</v>
      </c>
      <c r="D27" s="9">
        <v>8000</v>
      </c>
      <c r="E27" s="12">
        <v>6990</v>
      </c>
      <c r="F27" s="11"/>
      <c r="G27" s="9"/>
      <c r="H27" s="9">
        <v>3018262</v>
      </c>
      <c r="I27" s="9">
        <v>950883</v>
      </c>
      <c r="J27" s="9">
        <v>1368390</v>
      </c>
      <c r="K27" s="9">
        <v>1175710</v>
      </c>
      <c r="L27" s="9">
        <v>1174898</v>
      </c>
      <c r="M27" s="9">
        <v>4364832</v>
      </c>
      <c r="N27" s="12">
        <v>897469</v>
      </c>
      <c r="O27" s="12">
        <v>1960893</v>
      </c>
      <c r="P27" s="12">
        <v>22650469</v>
      </c>
      <c r="Q27" s="9">
        <v>0</v>
      </c>
      <c r="R27" s="9">
        <v>0</v>
      </c>
      <c r="S27" s="12">
        <v>121702</v>
      </c>
      <c r="T27" s="9">
        <v>2728</v>
      </c>
      <c r="U27" s="15">
        <f t="shared" si="4"/>
        <v>4317590</v>
      </c>
      <c r="V27" s="15">
        <f t="shared" si="0"/>
        <v>4193160</v>
      </c>
      <c r="W27" s="15">
        <f>(M27-N27)+P27</f>
        <v>26117832</v>
      </c>
      <c r="X27" s="20">
        <f t="shared" si="2"/>
        <v>6.2286752711558826</v>
      </c>
      <c r="Y27" s="20">
        <f t="shared" si="3"/>
        <v>5.7610343988781727</v>
      </c>
      <c r="Z27" s="9">
        <v>2977626</v>
      </c>
    </row>
    <row r="28" spans="2:26" x14ac:dyDescent="0.35">
      <c r="B28" s="21">
        <v>46143</v>
      </c>
      <c r="C28" s="9" t="s">
        <v>40</v>
      </c>
      <c r="D28" s="22">
        <v>8000</v>
      </c>
      <c r="E28" s="12">
        <v>7134</v>
      </c>
      <c r="F28" s="23"/>
      <c r="G28" s="22"/>
      <c r="H28" s="22">
        <v>3162009</v>
      </c>
      <c r="I28" s="22">
        <v>846485</v>
      </c>
      <c r="J28" s="22">
        <v>1527442</v>
      </c>
      <c r="K28" s="22">
        <v>1218020</v>
      </c>
      <c r="L28" s="22">
        <v>1218015</v>
      </c>
      <c r="M28" s="24">
        <v>4705446.4899999993</v>
      </c>
      <c r="N28" s="24">
        <v>1875744</v>
      </c>
      <c r="O28" s="24">
        <v>705797.14</v>
      </c>
      <c r="P28" s="24">
        <v>24729187</v>
      </c>
      <c r="Q28" s="22">
        <v>0</v>
      </c>
      <c r="R28" s="22">
        <v>0</v>
      </c>
      <c r="S28" s="24">
        <v>132437</v>
      </c>
      <c r="T28" s="22">
        <v>49055</v>
      </c>
      <c r="U28" s="15">
        <f t="shared" si="4"/>
        <v>4561516</v>
      </c>
      <c r="V28" s="15">
        <f t="shared" si="0"/>
        <v>4380024</v>
      </c>
      <c r="W28" s="15">
        <f>(M28-N28)+P28</f>
        <v>27558889.489999998</v>
      </c>
      <c r="X28" s="20">
        <f t="shared" si="2"/>
        <v>6.2919494253912758</v>
      </c>
      <c r="Y28" s="20">
        <f t="shared" si="3"/>
        <v>6.1308094088068916</v>
      </c>
      <c r="Z28" s="9"/>
    </row>
    <row r="29" spans="2:26" x14ac:dyDescent="0.35">
      <c r="B29" s="21">
        <v>46174</v>
      </c>
      <c r="C29" s="9" t="s">
        <v>40</v>
      </c>
      <c r="D29" s="22">
        <v>8000</v>
      </c>
      <c r="E29" s="24">
        <v>7374</v>
      </c>
      <c r="F29" s="23" t="str">
        <f>IF(Table224[[#This Row],[RMD
(KVA)]]&gt;Table224[[#This Row],[CMD
(KVA)]],Table224[[#This Row],[RMD
(KVA)]]-Table224[[#This Row],[CMD
(KVA)]],"")</f>
        <v/>
      </c>
      <c r="G29" s="22"/>
      <c r="H29" s="22">
        <v>3267614</v>
      </c>
      <c r="I29" s="22">
        <v>1008498</v>
      </c>
      <c r="J29" s="22">
        <v>1455512</v>
      </c>
      <c r="K29" s="22">
        <v>1312650</v>
      </c>
      <c r="L29" s="22">
        <v>1311370</v>
      </c>
      <c r="M29" s="24">
        <v>4729076.4000000013</v>
      </c>
      <c r="N29" s="22">
        <v>2019510</v>
      </c>
      <c r="O29" s="22">
        <v>2035774.32</v>
      </c>
      <c r="P29" s="24">
        <v>26787490</v>
      </c>
      <c r="Q29" s="22"/>
      <c r="R29" s="22"/>
      <c r="S29" s="22">
        <v>123562</v>
      </c>
      <c r="T29" s="22">
        <v>7900</v>
      </c>
      <c r="U29" s="23">
        <f>H29+L29+S29+T29</f>
        <v>4710446</v>
      </c>
      <c r="V29" s="23">
        <f>H29+L29</f>
        <v>4578984</v>
      </c>
      <c r="W29" s="25">
        <f>(M29-N29)+P29</f>
        <v>29497056.400000002</v>
      </c>
      <c r="X29" s="20">
        <f>W29/V29</f>
        <v>6.4418343457850042</v>
      </c>
      <c r="Y29" s="20">
        <f>(W29-O29)/V29</f>
        <v>5.9972435107875466</v>
      </c>
      <c r="Z29" s="26"/>
    </row>
    <row r="30" spans="2:26" x14ac:dyDescent="0.35">
      <c r="B30" s="31"/>
      <c r="C30" s="32"/>
      <c r="D30" s="33"/>
      <c r="E30" s="34"/>
      <c r="F30" s="35" t="str">
        <f>IF(Table224[[#This Row],[RMD
(KVA)]]&gt;Table224[[#This Row],[CMD
(KVA)]],Table224[[#This Row],[RMD
(KVA)]]-Table224[[#This Row],[CMD
(KVA)]],"")</f>
        <v/>
      </c>
      <c r="G30" s="33"/>
      <c r="H30" s="33"/>
      <c r="I30" s="33"/>
      <c r="J30" s="33"/>
      <c r="K30" s="33"/>
      <c r="L30" s="33"/>
      <c r="M30" s="36"/>
      <c r="N30" s="33"/>
      <c r="O30" s="33"/>
      <c r="P30" s="34"/>
      <c r="Q30" s="33"/>
      <c r="R30" s="33"/>
      <c r="S30" s="33"/>
      <c r="T30" s="33"/>
      <c r="U30" s="35">
        <f>H30+L30+S30+T30</f>
        <v>0</v>
      </c>
      <c r="V30" s="35">
        <f>H30+L30</f>
        <v>0</v>
      </c>
      <c r="W30" s="25">
        <f>(M30-N30)+P30</f>
        <v>0</v>
      </c>
      <c r="X30" s="20" t="e">
        <f>W30/V30</f>
        <v>#DIV/0!</v>
      </c>
      <c r="Y30" s="20" t="e">
        <f>(W30-O30)/V30</f>
        <v>#DIV/0!</v>
      </c>
      <c r="Z30" s="26"/>
    </row>
    <row r="32" spans="2:26" x14ac:dyDescent="0.35">
      <c r="N32" s="37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0912-4CDF-465A-A905-132E089D1863}">
  <dimension ref="A1:W29"/>
  <sheetViews>
    <sheetView topLeftCell="A11" workbookViewId="0">
      <selection activeCell="G9" sqref="G9"/>
    </sheetView>
  </sheetViews>
  <sheetFormatPr defaultRowHeight="14.5" x14ac:dyDescent="0.35"/>
  <cols>
    <col min="1" max="1" width="12.36328125" style="3" customWidth="1"/>
    <col min="2" max="2" width="12.6328125" style="3" customWidth="1"/>
    <col min="3" max="4" width="8.90625" style="3"/>
    <col min="5" max="5" width="9.6328125" style="3" customWidth="1"/>
    <col min="6" max="6" width="10.08984375" style="3" customWidth="1"/>
    <col min="7" max="7" width="8.90625" style="3"/>
    <col min="8" max="8" width="13.453125" style="3" customWidth="1"/>
    <col min="9" max="9" width="11.08984375" style="3" customWidth="1"/>
    <col min="10" max="11" width="12.453125" style="3" customWidth="1"/>
    <col min="12" max="12" width="15.90625" style="3" customWidth="1"/>
    <col min="13" max="13" width="12" style="3" customWidth="1"/>
    <col min="14" max="14" width="12.453125" style="3" bestFit="1" customWidth="1"/>
    <col min="15" max="15" width="14.08984375" style="3" customWidth="1"/>
    <col min="16" max="16" width="11.7265625" style="3" customWidth="1"/>
    <col min="17" max="17" width="14.36328125" style="3" customWidth="1"/>
    <col min="18" max="19" width="10.08984375" style="3" customWidth="1"/>
    <col min="20" max="20" width="8.90625" style="3"/>
    <col min="21" max="21" width="15.08984375" style="3" customWidth="1"/>
    <col min="22" max="22" width="13.7265625" style="3" customWidth="1"/>
    <col min="23" max="23" width="8.90625" style="3"/>
  </cols>
  <sheetData>
    <row r="1" spans="1:23" ht="43.5" x14ac:dyDescent="0.35">
      <c r="A1" s="1" t="s">
        <v>1</v>
      </c>
      <c r="B1" s="1" t="s">
        <v>2</v>
      </c>
      <c r="C1" s="2" t="s">
        <v>11</v>
      </c>
      <c r="D1" s="2" t="s">
        <v>10</v>
      </c>
      <c r="E1" s="2" t="s">
        <v>12</v>
      </c>
      <c r="F1" s="2" t="s">
        <v>13</v>
      </c>
      <c r="G1" s="2" t="s">
        <v>16</v>
      </c>
      <c r="H1" s="2" t="s">
        <v>15</v>
      </c>
      <c r="I1" s="2" t="s">
        <v>14</v>
      </c>
      <c r="J1" s="2" t="s">
        <v>17</v>
      </c>
      <c r="K1" s="2" t="s">
        <v>4</v>
      </c>
      <c r="L1" s="2" t="s">
        <v>18</v>
      </c>
      <c r="M1" s="2" t="s">
        <v>9</v>
      </c>
      <c r="N1" s="2" t="s">
        <v>8</v>
      </c>
      <c r="O1" s="2" t="s">
        <v>7</v>
      </c>
      <c r="P1" s="2" t="s">
        <v>19</v>
      </c>
      <c r="Q1" s="2" t="s">
        <v>20</v>
      </c>
      <c r="R1" s="2" t="s">
        <v>5</v>
      </c>
      <c r="S1" s="2" t="s">
        <v>6</v>
      </c>
      <c r="T1" s="1" t="s">
        <v>0</v>
      </c>
      <c r="U1" s="1" t="s">
        <v>3</v>
      </c>
      <c r="V1" s="1" t="s">
        <v>22</v>
      </c>
      <c r="W1" s="2" t="s">
        <v>21</v>
      </c>
    </row>
    <row r="2" spans="1:23" x14ac:dyDescent="0.35">
      <c r="A2" s="4">
        <v>45383</v>
      </c>
      <c r="B2" s="3" t="s">
        <v>41</v>
      </c>
      <c r="C2" s="3">
        <v>15000</v>
      </c>
      <c r="D2" s="3">
        <v>13816</v>
      </c>
      <c r="E2" t="str">
        <f>IF(Table22[[#This Row],[RMD
(KVA)]]&gt;Table22[[#This Row],[CMD
(KVA)]],Table22[[#This Row],[RMD
(KVA)]]-Table22[[#This Row],[CMD
(KVA)]],"")</f>
        <v/>
      </c>
      <c r="F2" s="3">
        <v>0</v>
      </c>
      <c r="G2" s="38">
        <v>7288000</v>
      </c>
      <c r="H2" s="38">
        <v>2382100</v>
      </c>
      <c r="I2" s="38">
        <v>2344400</v>
      </c>
      <c r="J2" s="38">
        <v>0</v>
      </c>
      <c r="K2" s="3">
        <v>0</v>
      </c>
      <c r="L2" s="38">
        <v>49288771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8">
        <v>31682.00000000008</v>
      </c>
      <c r="T2">
        <f>Table22[[#This Row],[EB Units
(KVAH)]]+Table22[[#This Row],[OA Considered
IEX (Kwh)]]+Table22[[#This Row],[OA Unit-LTPPA
(KWh)]]+Table22[[#This Row],[Solar-Rooftop
(KWh)]]+Table22[[#This Row],[DG Units
(Kwh)]]</f>
        <v>7319682</v>
      </c>
      <c r="U2">
        <f>Table22[[#This Row],[EB Value Total (Rs.)]]+Table22[[#This Row],[IEX-Value
(Rs.)]]+Table22[[#This Row],[LTPPA-Value
(Rs.)]]</f>
        <v>49288771</v>
      </c>
      <c r="V2" s="5">
        <f>IFERROR(Table22[[#This Row],[Total Value]]/(Table22[[#This Row],[EB Units
(KVAH)]]+Table22[[#This Row],[OA Considered
IEX (Kwh)]]+Table22[[#This Row],[OA Unit-LTPPA
(KWh)]]),"")</f>
        <v>6.7630037047200879</v>
      </c>
      <c r="W2" s="3">
        <v>5356408.67</v>
      </c>
    </row>
    <row r="3" spans="1:23" x14ac:dyDescent="0.35">
      <c r="A3" s="4">
        <v>45413</v>
      </c>
      <c r="B3" s="3" t="s">
        <v>41</v>
      </c>
      <c r="C3" s="3">
        <v>15000</v>
      </c>
      <c r="D3" s="3">
        <v>13311</v>
      </c>
      <c r="E3" t="str">
        <f>IF(Table22[[#This Row],[RMD
(KVA)]]&gt;Table22[[#This Row],[CMD
(KVA)]],Table22[[#This Row],[RMD
(KVA)]]-Table22[[#This Row],[CMD
(KVA)]],"")</f>
        <v/>
      </c>
      <c r="F3" s="3">
        <v>0</v>
      </c>
      <c r="G3" s="38">
        <v>7679100.0000000056</v>
      </c>
      <c r="H3" s="38">
        <v>2493300</v>
      </c>
      <c r="I3" s="38">
        <v>2447100</v>
      </c>
      <c r="J3" s="38">
        <v>0</v>
      </c>
      <c r="K3" s="3">
        <v>0</v>
      </c>
      <c r="L3" s="38">
        <v>57900686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8">
        <v>72811.999999999913</v>
      </c>
      <c r="T3">
        <f>Table22[[#This Row],[EB Units
(KVAH)]]+Table22[[#This Row],[OA Considered
IEX (Kwh)]]+Table22[[#This Row],[OA Unit-LTPPA
(KWh)]]+Table22[[#This Row],[Solar-Rooftop
(KWh)]]+Table22[[#This Row],[DG Units
(Kwh)]]</f>
        <v>7751912.0000000056</v>
      </c>
      <c r="U3">
        <f>Table22[[#This Row],[EB Value Total (Rs.)]]+Table22[[#This Row],[IEX-Value
(Rs.)]]+Table22[[#This Row],[LTPPA-Value
(Rs.)]]</f>
        <v>57900686</v>
      </c>
      <c r="V3" s="5">
        <f>IFERROR(Table22[[#This Row],[Total Value]]/(Table22[[#This Row],[EB Units
(KVAH)]]+Table22[[#This Row],[OA Considered
IEX (Kwh)]]+Table22[[#This Row],[OA Unit-LTPPA
(KWh)]]),"")</f>
        <v>7.5400354208175386</v>
      </c>
      <c r="W3" s="3">
        <v>0</v>
      </c>
    </row>
    <row r="4" spans="1:23" x14ac:dyDescent="0.35">
      <c r="A4" s="4">
        <v>45444</v>
      </c>
      <c r="B4" s="3" t="s">
        <v>41</v>
      </c>
      <c r="C4" s="3">
        <v>15000</v>
      </c>
      <c r="D4" s="3">
        <v>13594</v>
      </c>
      <c r="E4" t="str">
        <f>IF(Table22[[#This Row],[RMD
(KVA)]]&gt;Table22[[#This Row],[CMD
(KVA)]],Table22[[#This Row],[RMD
(KVA)]]-Table22[[#This Row],[CMD
(KVA)]],"")</f>
        <v/>
      </c>
      <c r="F4" s="3">
        <v>0</v>
      </c>
      <c r="G4" s="38">
        <v>8168600.0000000056</v>
      </c>
      <c r="H4" s="38">
        <v>2700900</v>
      </c>
      <c r="I4" s="38">
        <v>2541800</v>
      </c>
      <c r="J4" s="38">
        <v>0</v>
      </c>
      <c r="K4" s="3">
        <v>0</v>
      </c>
      <c r="L4" s="38">
        <v>61432556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8">
        <v>26900.000000000131</v>
      </c>
      <c r="T4">
        <f>Table22[[#This Row],[EB Units
(KVAH)]]+Table22[[#This Row],[OA Considered
IEX (Kwh)]]+Table22[[#This Row],[OA Unit-LTPPA
(KWh)]]+Table22[[#This Row],[Solar-Rooftop
(KWh)]]+Table22[[#This Row],[DG Units
(Kwh)]]</f>
        <v>8195500.0000000056</v>
      </c>
      <c r="U4">
        <f>Table22[[#This Row],[EB Value Total (Rs.)]]+Table22[[#This Row],[IEX-Value
(Rs.)]]+Table22[[#This Row],[LTPPA-Value
(Rs.)]]</f>
        <v>61432556</v>
      </c>
      <c r="V4" s="5">
        <f>IFERROR(Table22[[#This Row],[Total Value]]/(Table22[[#This Row],[EB Units
(KVAH)]]+Table22[[#This Row],[OA Considered
IEX (Kwh)]]+Table22[[#This Row],[OA Unit-LTPPA
(KWh)]]),"")</f>
        <v>7.5205734152731143</v>
      </c>
      <c r="W4" s="3">
        <v>0</v>
      </c>
    </row>
    <row r="5" spans="1:23" x14ac:dyDescent="0.35">
      <c r="A5" s="4">
        <v>45474</v>
      </c>
      <c r="B5" s="3" t="s">
        <v>41</v>
      </c>
      <c r="C5" s="3">
        <v>15000</v>
      </c>
      <c r="D5" s="3">
        <v>14265</v>
      </c>
      <c r="E5" t="str">
        <f>IF(Table22[[#This Row],[RMD
(KVA)]]&gt;Table22[[#This Row],[CMD
(KVA)]],Table22[[#This Row],[RMD
(KVA)]]-Table22[[#This Row],[CMD
(KVA)]],"")</f>
        <v/>
      </c>
      <c r="F5" s="3">
        <v>0</v>
      </c>
      <c r="G5" s="38">
        <v>7978399.9999999944</v>
      </c>
      <c r="H5" s="38">
        <v>2602900</v>
      </c>
      <c r="I5" s="38">
        <v>2542000</v>
      </c>
      <c r="J5" s="38">
        <v>0</v>
      </c>
      <c r="K5" s="3">
        <v>0</v>
      </c>
      <c r="L5" s="38">
        <v>60376839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8">
        <v>182455.99999999991</v>
      </c>
      <c r="T5">
        <f>Table22[[#This Row],[EB Units
(KVAH)]]+Table22[[#This Row],[OA Considered
IEX (Kwh)]]+Table22[[#This Row],[OA Unit-LTPPA
(KWh)]]+Table22[[#This Row],[Solar-Rooftop
(KWh)]]+Table22[[#This Row],[DG Units
(Kwh)]]</f>
        <v>8160855.9999999944</v>
      </c>
      <c r="U5">
        <f>Table22[[#This Row],[EB Value Total (Rs.)]]+Table22[[#This Row],[IEX-Value
(Rs.)]]+Table22[[#This Row],[LTPPA-Value
(Rs.)]]</f>
        <v>60376839</v>
      </c>
      <c r="V5" s="5">
        <f>IFERROR(Table22[[#This Row],[Total Value]]/(Table22[[#This Row],[EB Units
(KVAH)]]+Table22[[#This Row],[OA Considered
IEX (Kwh)]]+Table22[[#This Row],[OA Unit-LTPPA
(KWh)]]),"")</f>
        <v>7.5675372255088789</v>
      </c>
      <c r="W5" s="3">
        <v>0</v>
      </c>
    </row>
    <row r="6" spans="1:23" x14ac:dyDescent="0.35">
      <c r="A6" s="4">
        <v>45505</v>
      </c>
      <c r="B6" s="3" t="s">
        <v>41</v>
      </c>
      <c r="C6" s="3">
        <v>15000</v>
      </c>
      <c r="D6" s="3">
        <v>14008</v>
      </c>
      <c r="E6" t="str">
        <f>IF(Table22[[#This Row],[RMD
(KVA)]]&gt;Table22[[#This Row],[CMD
(KVA)]],Table22[[#This Row],[RMD
(KVA)]]-Table22[[#This Row],[CMD
(KVA)]],"")</f>
        <v/>
      </c>
      <c r="F6" s="3">
        <v>0</v>
      </c>
      <c r="G6" s="38">
        <v>8138899.9999999944</v>
      </c>
      <c r="H6" s="38">
        <v>2666900</v>
      </c>
      <c r="I6" s="38">
        <v>2568300</v>
      </c>
      <c r="J6" s="38">
        <v>0</v>
      </c>
      <c r="K6" s="3">
        <v>0</v>
      </c>
      <c r="L6" s="38">
        <v>61369419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8">
        <v>8922</v>
      </c>
      <c r="T6">
        <f>Table22[[#This Row],[EB Units
(KVAH)]]+Table22[[#This Row],[OA Considered
IEX (Kwh)]]+Table22[[#This Row],[OA Unit-LTPPA
(KWh)]]+Table22[[#This Row],[Solar-Rooftop
(KWh)]]+Table22[[#This Row],[DG Units
(Kwh)]]</f>
        <v>8147821.9999999944</v>
      </c>
      <c r="U6">
        <f>Table22[[#This Row],[EB Value Total (Rs.)]]+Table22[[#This Row],[IEX-Value
(Rs.)]]+Table22[[#This Row],[LTPPA-Value
(Rs.)]]</f>
        <v>61369419</v>
      </c>
      <c r="V6" s="5">
        <f>IFERROR(Table22[[#This Row],[Total Value]]/(Table22[[#This Row],[EB Units
(KVAH)]]+Table22[[#This Row],[OA Considered
IEX (Kwh)]]+Table22[[#This Row],[OA Unit-LTPPA
(KWh)]]),"")</f>
        <v>7.5402596173930192</v>
      </c>
      <c r="W6" s="3">
        <v>0</v>
      </c>
    </row>
    <row r="7" spans="1:23" x14ac:dyDescent="0.35">
      <c r="A7" s="4">
        <v>45536</v>
      </c>
      <c r="B7" s="3" t="s">
        <v>41</v>
      </c>
      <c r="C7" s="3">
        <v>15000</v>
      </c>
      <c r="D7" s="3">
        <v>13871</v>
      </c>
      <c r="E7" t="str">
        <f>IF(Table22[[#This Row],[RMD
(KVA)]]&gt;Table22[[#This Row],[CMD
(KVA)]],Table22[[#This Row],[RMD
(KVA)]]-Table22[[#This Row],[CMD
(KVA)]],"")</f>
        <v/>
      </c>
      <c r="F7" s="3">
        <v>0</v>
      </c>
      <c r="G7" s="38">
        <v>7918500</v>
      </c>
      <c r="H7" s="38">
        <v>2597500</v>
      </c>
      <c r="I7" s="38">
        <v>2512200</v>
      </c>
      <c r="J7" s="38">
        <v>0</v>
      </c>
      <c r="K7" s="3">
        <v>0</v>
      </c>
      <c r="L7" s="38">
        <v>59812160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8">
        <v>13060</v>
      </c>
      <c r="T7">
        <f>Table22[[#This Row],[EB Units
(KVAH)]]+Table22[[#This Row],[OA Considered
IEX (Kwh)]]+Table22[[#This Row],[OA Unit-LTPPA
(KWh)]]+Table22[[#This Row],[Solar-Rooftop
(KWh)]]+Table22[[#This Row],[DG Units
(Kwh)]]</f>
        <v>7931560</v>
      </c>
      <c r="U7">
        <f>Table22[[#This Row],[EB Value Total (Rs.)]]+Table22[[#This Row],[IEX-Value
(Rs.)]]+Table22[[#This Row],[LTPPA-Value
(Rs.)]]</f>
        <v>59812160</v>
      </c>
      <c r="V7" s="5">
        <f>IFERROR(Table22[[#This Row],[Total Value]]/(Table22[[#This Row],[EB Units
(KVAH)]]+Table22[[#This Row],[OA Considered
IEX (Kwh)]]+Table22[[#This Row],[OA Unit-LTPPA
(KWh)]]),"")</f>
        <v>7.5534709856664772</v>
      </c>
      <c r="W7" s="3">
        <v>0</v>
      </c>
    </row>
    <row r="8" spans="1:23" x14ac:dyDescent="0.35">
      <c r="A8" s="4">
        <v>45566</v>
      </c>
      <c r="B8" s="3" t="s">
        <v>41</v>
      </c>
      <c r="C8" s="3">
        <v>15000</v>
      </c>
      <c r="D8" s="3">
        <v>14144</v>
      </c>
      <c r="E8" t="str">
        <f>IF(Table22[[#This Row],[RMD
(KVA)]]&gt;Table22[[#This Row],[CMD
(KVA)]],Table22[[#This Row],[RMD
(KVA)]]-Table22[[#This Row],[CMD
(KVA)]],"")</f>
        <v/>
      </c>
      <c r="F8" s="3">
        <v>0</v>
      </c>
      <c r="G8" s="38">
        <v>8237000</v>
      </c>
      <c r="H8" s="38">
        <v>2726400</v>
      </c>
      <c r="I8" s="38">
        <v>2615000</v>
      </c>
      <c r="J8" s="38">
        <v>0</v>
      </c>
      <c r="K8" s="3">
        <v>0</v>
      </c>
      <c r="L8" s="38">
        <v>62105070</v>
      </c>
      <c r="M8" s="38">
        <v>0</v>
      </c>
      <c r="N8" s="38">
        <v>0</v>
      </c>
      <c r="O8" s="3">
        <v>0</v>
      </c>
      <c r="P8" s="3">
        <v>0</v>
      </c>
      <c r="Q8" s="3">
        <v>0</v>
      </c>
      <c r="R8" s="3">
        <v>0</v>
      </c>
      <c r="S8" s="38">
        <v>1140</v>
      </c>
      <c r="T8">
        <f>Table22[[#This Row],[EB Units
(KVAH)]]+Table22[[#This Row],[OA Considered
IEX (Kwh)]]+Table22[[#This Row],[OA Unit-LTPPA
(KWh)]]+Table22[[#This Row],[Solar-Rooftop
(KWh)]]+Table22[[#This Row],[DG Units
(Kwh)]]</f>
        <v>8238140</v>
      </c>
      <c r="U8">
        <f>Table22[[#This Row],[EB Value Total (Rs.)]]+Table22[[#This Row],[IEX-Value
(Rs.)]]+Table22[[#This Row],[LTPPA-Value
(Rs.)]]</f>
        <v>62105070</v>
      </c>
      <c r="V8" s="5">
        <f>IFERROR(Table22[[#This Row],[Total Value]]/(Table22[[#This Row],[EB Units
(KVAH)]]+Table22[[#This Row],[OA Considered
IEX (Kwh)]]+Table22[[#This Row],[OA Unit-LTPPA
(KWh)]]),"")</f>
        <v>7.5397681194609687</v>
      </c>
      <c r="W8" s="3">
        <v>0</v>
      </c>
    </row>
    <row r="9" spans="1:23" x14ac:dyDescent="0.35">
      <c r="A9" s="4">
        <v>45597</v>
      </c>
      <c r="B9" s="3" t="s">
        <v>41</v>
      </c>
      <c r="C9" s="3">
        <v>15000</v>
      </c>
      <c r="D9" s="3">
        <v>13357.6</v>
      </c>
      <c r="E9" t="str">
        <f>IF(Table22[[#This Row],[RMD
(KVA)]]&gt;Table22[[#This Row],[CMD
(KVA)]],Table22[[#This Row],[RMD
(KVA)]]-Table22[[#This Row],[CMD
(KVA)]],"")</f>
        <v/>
      </c>
      <c r="F9" s="3">
        <v>0</v>
      </c>
      <c r="G9" s="38">
        <v>7299000</v>
      </c>
      <c r="H9" s="38">
        <v>2413600</v>
      </c>
      <c r="I9" s="38">
        <v>2302900</v>
      </c>
      <c r="J9" s="38">
        <v>0</v>
      </c>
      <c r="K9" s="3">
        <v>0</v>
      </c>
      <c r="L9" s="38">
        <v>54619340</v>
      </c>
      <c r="M9" s="38">
        <v>0</v>
      </c>
      <c r="N9" s="38">
        <v>0</v>
      </c>
      <c r="O9" s="3">
        <v>0</v>
      </c>
      <c r="P9" s="3">
        <v>0</v>
      </c>
      <c r="Q9" s="3">
        <v>0</v>
      </c>
      <c r="R9" s="3">
        <v>0</v>
      </c>
      <c r="S9" s="38">
        <v>21800</v>
      </c>
      <c r="T9">
        <f>Table22[[#This Row],[EB Units
(KVAH)]]+Table22[[#This Row],[OA Considered
IEX (Kwh)]]+Table22[[#This Row],[OA Unit-LTPPA
(KWh)]]+Table22[[#This Row],[Solar-Rooftop
(KWh)]]+Table22[[#This Row],[DG Units
(Kwh)]]</f>
        <v>7320800</v>
      </c>
      <c r="U9">
        <f>Table22[[#This Row],[EB Value Total (Rs.)]]+Table22[[#This Row],[IEX-Value
(Rs.)]]+Table22[[#This Row],[LTPPA-Value
(Rs.)]]</f>
        <v>54619340</v>
      </c>
      <c r="V9" s="5">
        <f>IFERROR(Table22[[#This Row],[Total Value]]/(Table22[[#This Row],[EB Units
(KVAH)]]+Table22[[#This Row],[OA Considered
IEX (Kwh)]]+Table22[[#This Row],[OA Unit-LTPPA
(KWh)]]),"")</f>
        <v>7.4831264556788604</v>
      </c>
      <c r="W9" s="3">
        <v>0</v>
      </c>
    </row>
    <row r="10" spans="1:23" x14ac:dyDescent="0.35">
      <c r="A10" s="4">
        <v>45627</v>
      </c>
      <c r="B10" s="3" t="s">
        <v>41</v>
      </c>
      <c r="C10" s="3">
        <v>15000</v>
      </c>
      <c r="D10" s="3">
        <v>13713.300000000001</v>
      </c>
      <c r="E10" t="str">
        <f>IF(Table22[[#This Row],[RMD
(KVA)]]&gt;Table22[[#This Row],[CMD
(KVA)]],Table22[[#This Row],[RMD
(KVA)]]-Table22[[#This Row],[CMD
(KVA)]],"")</f>
        <v/>
      </c>
      <c r="F10" s="3">
        <v>0</v>
      </c>
      <c r="G10" s="38">
        <v>8292400.0000000233</v>
      </c>
      <c r="H10" s="38">
        <v>2727800</v>
      </c>
      <c r="I10" s="38">
        <v>2658700</v>
      </c>
      <c r="J10" s="38">
        <v>0</v>
      </c>
      <c r="K10" s="3">
        <v>0</v>
      </c>
      <c r="L10" s="38">
        <v>61243404</v>
      </c>
      <c r="M10" s="38">
        <v>0</v>
      </c>
      <c r="N10" s="38">
        <v>0</v>
      </c>
      <c r="O10" s="3">
        <v>0</v>
      </c>
      <c r="P10" s="3">
        <v>0</v>
      </c>
      <c r="Q10" s="3">
        <v>0</v>
      </c>
      <c r="R10" s="3">
        <v>0</v>
      </c>
      <c r="S10" s="38">
        <v>1020.0000000001455</v>
      </c>
      <c r="T10">
        <f>Table22[[#This Row],[EB Units
(KVAH)]]+Table22[[#This Row],[OA Considered
IEX (Kwh)]]+Table22[[#This Row],[OA Unit-LTPPA
(KWh)]]+Table22[[#This Row],[Solar-Rooftop
(KWh)]]+Table22[[#This Row],[DG Units
(Kwh)]]</f>
        <v>8293420.0000000233</v>
      </c>
      <c r="U10">
        <f>Table22[[#This Row],[EB Value Total (Rs.)]]+Table22[[#This Row],[IEX-Value
(Rs.)]]+Table22[[#This Row],[LTPPA-Value
(Rs.)]]</f>
        <v>61243404</v>
      </c>
      <c r="V10" s="5">
        <f>IFERROR(Table22[[#This Row],[Total Value]]/(Table22[[#This Row],[EB Units
(KVAH)]]+Table22[[#This Row],[OA Considered
IEX (Kwh)]]+Table22[[#This Row],[OA Unit-LTPPA
(KWh)]]),"")</f>
        <v>7.3854859871689529</v>
      </c>
      <c r="W10" s="3">
        <v>0</v>
      </c>
    </row>
    <row r="11" spans="1:23" x14ac:dyDescent="0.35">
      <c r="A11" s="4">
        <v>45658</v>
      </c>
      <c r="B11" s="3" t="s">
        <v>41</v>
      </c>
      <c r="C11" s="3">
        <v>15000</v>
      </c>
      <c r="D11" s="3">
        <v>12833</v>
      </c>
      <c r="E11" t="str">
        <f>IF(Table22[[#This Row],[RMD
(KVA)]]&gt;Table22[[#This Row],[CMD
(KVA)]],Table22[[#This Row],[RMD
(KVA)]]-Table22[[#This Row],[CMD
(KVA)]],"")</f>
        <v/>
      </c>
      <c r="F11" s="3">
        <v>0</v>
      </c>
      <c r="G11" s="38">
        <v>6813586</v>
      </c>
      <c r="H11" s="38">
        <v>2511400</v>
      </c>
      <c r="I11" s="38">
        <v>2559700</v>
      </c>
      <c r="J11" s="38">
        <f>3111319+(1382564+1042564)</f>
        <v>5536447</v>
      </c>
      <c r="K11" s="3">
        <v>0</v>
      </c>
      <c r="L11" s="38">
        <v>56202128</v>
      </c>
      <c r="M11" s="38">
        <v>1007250</v>
      </c>
      <c r="N11" s="38">
        <v>960114</v>
      </c>
      <c r="O11" s="38">
        <v>4076387</v>
      </c>
      <c r="P11" s="3">
        <v>0</v>
      </c>
      <c r="Q11" s="3">
        <v>0</v>
      </c>
      <c r="R11" s="3">
        <v>0</v>
      </c>
      <c r="S11" s="38">
        <v>13680.000000000118</v>
      </c>
      <c r="T11">
        <f>Table22[[#This Row],[EB Units
(KVAH)]]+Table22[[#This Row],[OA Considered
IEX (Kwh)]]+Table22[[#This Row],[OA Unit-LTPPA
(KWh)]]+Table22[[#This Row],[Solar-Rooftop
(KWh)]]+Table22[[#This Row],[DG Units
(Kwh)]]</f>
        <v>7787380</v>
      </c>
      <c r="U11">
        <f>Table22[[#This Row],[EB Value Total (Rs.)]]+Table22[[#This Row],[IEX-Value
(Rs.)]]+Table22[[#This Row],[LTPPA-Value
(Rs.)]]</f>
        <v>60278515</v>
      </c>
      <c r="V11" s="5">
        <f>IFERROR(Table22[[#This Row],[Total Value]]/(Table22[[#This Row],[EB Units
(KVAH)]]+Table22[[#This Row],[OA Considered
IEX (Kwh)]]+Table22[[#This Row],[OA Unit-LTPPA
(KWh)]]),"")</f>
        <v>7.7541601811235319</v>
      </c>
      <c r="W11" s="3">
        <v>0</v>
      </c>
    </row>
    <row r="12" spans="1:23" x14ac:dyDescent="0.35">
      <c r="A12" s="4">
        <v>45689</v>
      </c>
      <c r="B12" s="3" t="s">
        <v>41</v>
      </c>
      <c r="C12" s="3">
        <v>15000</v>
      </c>
      <c r="D12" s="3">
        <v>14244.1</v>
      </c>
      <c r="E12" t="str">
        <f>IF(Table22[[#This Row],[RMD
(KVA)]]&gt;Table22[[#This Row],[CMD
(KVA)]],Table22[[#This Row],[RMD
(KVA)]]-Table22[[#This Row],[CMD
(KVA)]],"")</f>
        <v/>
      </c>
      <c r="F12" s="3">
        <v>0</v>
      </c>
      <c r="G12" s="38">
        <v>6149491</v>
      </c>
      <c r="H12" s="38">
        <v>2493500</v>
      </c>
      <c r="I12" s="38">
        <v>2428800</v>
      </c>
      <c r="J12" s="38">
        <f>2073181+1569283</f>
        <v>3642464</v>
      </c>
      <c r="K12" s="3">
        <v>0</v>
      </c>
      <c r="L12" s="38">
        <v>50343312</v>
      </c>
      <c r="M12" s="38">
        <v>1438800</v>
      </c>
      <c r="N12" s="38">
        <v>1438800</v>
      </c>
      <c r="O12" s="38">
        <v>5762172</v>
      </c>
      <c r="P12" s="3">
        <v>0</v>
      </c>
      <c r="Q12" s="3">
        <v>0</v>
      </c>
      <c r="R12" s="3">
        <v>0</v>
      </c>
      <c r="S12" s="38">
        <v>6656</v>
      </c>
      <c r="T12">
        <f>Table22[[#This Row],[EB Units
(KVAH)]]+Table22[[#This Row],[OA Considered
IEX (Kwh)]]+Table22[[#This Row],[OA Unit-LTPPA
(KWh)]]+Table22[[#This Row],[Solar-Rooftop
(KWh)]]+Table22[[#This Row],[DG Units
(Kwh)]]</f>
        <v>7594947</v>
      </c>
      <c r="U12">
        <f>Table22[[#This Row],[EB Value Total (Rs.)]]+Table22[[#This Row],[IEX-Value
(Rs.)]]+Table22[[#This Row],[LTPPA-Value
(Rs.)]]</f>
        <v>56105484</v>
      </c>
      <c r="V12" s="5">
        <f>IFERROR(Table22[[#This Row],[Total Value]]/(Table22[[#This Row],[EB Units
(KVAH)]]+Table22[[#This Row],[OA Considered
IEX (Kwh)]]+Table22[[#This Row],[OA Unit-LTPPA
(KWh)]]),"")</f>
        <v>7.3936916757673101</v>
      </c>
      <c r="W12" s="3">
        <v>0</v>
      </c>
    </row>
    <row r="13" spans="1:23" x14ac:dyDescent="0.35">
      <c r="A13" s="4">
        <v>45717</v>
      </c>
      <c r="B13" s="3" t="s">
        <v>41</v>
      </c>
      <c r="C13" s="3">
        <v>15000</v>
      </c>
      <c r="D13" s="3">
        <v>14536</v>
      </c>
      <c r="E13" t="str">
        <f>IF(Table22[[#This Row],[RMD
(KVA)]]&gt;Table22[[#This Row],[CMD
(KVA)]],Table22[[#This Row],[RMD
(KVA)]]-Table22[[#This Row],[CMD
(KVA)]],"")</f>
        <v/>
      </c>
      <c r="F13" s="3">
        <v>0</v>
      </c>
      <c r="G13" s="38">
        <v>6484338</v>
      </c>
      <c r="H13" s="38">
        <v>2834000</v>
      </c>
      <c r="I13" s="38">
        <v>2762400</v>
      </c>
      <c r="J13" s="38">
        <f>3101273+2347492</f>
        <v>5448765</v>
      </c>
      <c r="K13" s="3">
        <v>0</v>
      </c>
      <c r="L13" s="38">
        <v>54105274</v>
      </c>
      <c r="M13" s="38">
        <v>2154230</v>
      </c>
      <c r="N13" s="38">
        <v>2153662</v>
      </c>
      <c r="O13" s="38">
        <v>8268290</v>
      </c>
      <c r="P13" s="3">
        <v>0</v>
      </c>
      <c r="Q13" s="3">
        <v>0</v>
      </c>
      <c r="R13" s="3">
        <v>0</v>
      </c>
      <c r="S13" s="38">
        <v>1876</v>
      </c>
      <c r="T13">
        <f>Table22[[#This Row],[EB Units
(KVAH)]]+Table22[[#This Row],[OA Considered
IEX (Kwh)]]+Table22[[#This Row],[OA Unit-LTPPA
(KWh)]]+Table22[[#This Row],[Solar-Rooftop
(KWh)]]+Table22[[#This Row],[DG Units
(Kwh)]]</f>
        <v>8639876</v>
      </c>
      <c r="U13">
        <f>Table22[[#This Row],[EB Value Total (Rs.)]]+Table22[[#This Row],[IEX-Value
(Rs.)]]+Table22[[#This Row],[LTPPA-Value
(Rs.)]]</f>
        <v>62373564</v>
      </c>
      <c r="V13" s="5">
        <f>IFERROR(Table22[[#This Row],[Total Value]]/(Table22[[#This Row],[EB Units
(KVAH)]]+Table22[[#This Row],[OA Considered
IEX (Kwh)]]+Table22[[#This Row],[OA Unit-LTPPA
(KWh)]]),"")</f>
        <v>7.2208339893493863</v>
      </c>
      <c r="W13" s="3">
        <v>0</v>
      </c>
    </row>
    <row r="14" spans="1:23" x14ac:dyDescent="0.35">
      <c r="A14" s="4">
        <v>45748</v>
      </c>
      <c r="B14" s="3" t="s">
        <v>41</v>
      </c>
      <c r="C14" s="3">
        <v>15000</v>
      </c>
      <c r="D14" s="3">
        <v>15096.199999999999</v>
      </c>
      <c r="E14">
        <f>IF(Table22[[#This Row],[RMD
(KVA)]]&gt;Table22[[#This Row],[CMD
(KVA)]],Table22[[#This Row],[RMD
(KVA)]]-Table22[[#This Row],[CMD
(KVA)]],"")</f>
        <v>96.199999999998909</v>
      </c>
      <c r="F14" s="3">
        <v>0</v>
      </c>
      <c r="G14" s="38">
        <v>6773544</v>
      </c>
      <c r="H14" s="38">
        <v>3026500</v>
      </c>
      <c r="I14" s="38">
        <v>2940500</v>
      </c>
      <c r="J14" s="38">
        <f>3505329+2653339</f>
        <v>6158668</v>
      </c>
      <c r="K14" s="3">
        <v>0</v>
      </c>
      <c r="L14" s="38">
        <v>50064549</v>
      </c>
      <c r="M14" s="38">
        <v>2434200</v>
      </c>
      <c r="N14" s="38">
        <v>2434200</v>
      </c>
      <c r="O14" s="38">
        <v>8336342</v>
      </c>
      <c r="P14" s="3">
        <v>0</v>
      </c>
      <c r="Q14" s="3">
        <v>0</v>
      </c>
      <c r="R14" s="3">
        <v>0</v>
      </c>
      <c r="S14" s="3">
        <v>0</v>
      </c>
      <c r="T14">
        <f>Table22[[#This Row],[EB Units
(KVAH)]]+Table22[[#This Row],[OA Considered
IEX (Kwh)]]+Table22[[#This Row],[OA Unit-LTPPA
(KWh)]]+Table22[[#This Row],[Solar-Rooftop
(KWh)]]+Table22[[#This Row],[DG Units
(Kwh)]]</f>
        <v>9207744</v>
      </c>
      <c r="U14">
        <f>Table22[[#This Row],[EB Value Total (Rs.)]]+Table22[[#This Row],[IEX-Value
(Rs.)]]+Table22[[#This Row],[LTPPA-Value
(Rs.)]]</f>
        <v>58400891</v>
      </c>
      <c r="V14" s="5">
        <f>IFERROR(Table22[[#This Row],[Total Value]]/(Table22[[#This Row],[EB Units
(KVAH)]]+Table22[[#This Row],[OA Considered
IEX (Kwh)]]+Table22[[#This Row],[OA Unit-LTPPA
(KWh)]]),"")</f>
        <v>6.3425841335293427</v>
      </c>
      <c r="W14" s="3">
        <v>6890581.5700000003</v>
      </c>
    </row>
    <row r="15" spans="1:23" x14ac:dyDescent="0.35">
      <c r="A15" s="4">
        <v>45778</v>
      </c>
      <c r="B15" s="3" t="s">
        <v>41</v>
      </c>
      <c r="C15" s="3">
        <v>15000</v>
      </c>
      <c r="D15" s="3">
        <v>15202.1</v>
      </c>
      <c r="E15">
        <f>IF(Table22[[#This Row],[RMD
(KVA)]]&gt;Table22[[#This Row],[CMD
(KVA)]],Table22[[#This Row],[RMD
(KVA)]]-Table22[[#This Row],[CMD
(KVA)]],"")</f>
        <v>202.10000000000036</v>
      </c>
      <c r="F15" s="3">
        <v>0</v>
      </c>
      <c r="G15" s="38">
        <v>6799744</v>
      </c>
      <c r="H15" s="38">
        <v>3157100</v>
      </c>
      <c r="I15" s="38">
        <v>3070500</v>
      </c>
      <c r="J15" s="38">
        <f>4033040+1163532</f>
        <v>5196572</v>
      </c>
      <c r="K15" s="3">
        <v>0</v>
      </c>
      <c r="L15" s="38">
        <v>55946294</v>
      </c>
      <c r="M15" s="38">
        <v>2785090</v>
      </c>
      <c r="N15" s="38">
        <v>2762356</v>
      </c>
      <c r="O15" s="38">
        <v>8287217.5599999996</v>
      </c>
      <c r="P15" s="3">
        <v>0</v>
      </c>
      <c r="Q15" s="3">
        <v>0</v>
      </c>
      <c r="R15" s="3">
        <v>0</v>
      </c>
      <c r="S15" s="3">
        <v>0</v>
      </c>
      <c r="T15">
        <f>Table22[[#This Row],[EB Units
(KVAH)]]+Table22[[#This Row],[OA Considered
IEX (Kwh)]]+Table22[[#This Row],[OA Unit-LTPPA
(KWh)]]+Table22[[#This Row],[Solar-Rooftop
(KWh)]]+Table22[[#This Row],[DG Units
(Kwh)]]</f>
        <v>9562100</v>
      </c>
      <c r="U15">
        <f>Table22[[#This Row],[EB Value Total (Rs.)]]+Table22[[#This Row],[IEX-Value
(Rs.)]]+Table22[[#This Row],[LTPPA-Value
(Rs.)]]</f>
        <v>64233511.560000002</v>
      </c>
      <c r="V15" s="5">
        <f>IFERROR(Table22[[#This Row],[Total Value]]/(Table22[[#This Row],[EB Units
(KVAH)]]+Table22[[#This Row],[OA Considered
IEX (Kwh)]]+Table22[[#This Row],[OA Unit-LTPPA
(KWh)]]),"")</f>
        <v>6.7175109609813743</v>
      </c>
      <c r="W15" s="3">
        <v>0</v>
      </c>
    </row>
    <row r="16" spans="1:23" x14ac:dyDescent="0.35">
      <c r="A16" s="4">
        <v>45809</v>
      </c>
      <c r="B16" s="3" t="s">
        <v>41</v>
      </c>
      <c r="C16" s="3">
        <v>15000</v>
      </c>
      <c r="D16" s="3">
        <v>15274</v>
      </c>
      <c r="E16">
        <f>IF(Table22[[#This Row],[RMD
(KVA)]]&gt;Table22[[#This Row],[CMD
(KVA)]],Table22[[#This Row],[RMD
(KVA)]]-Table22[[#This Row],[CMD
(KVA)]],"")</f>
        <v>274</v>
      </c>
      <c r="F16" s="3">
        <v>0</v>
      </c>
      <c r="G16" s="38">
        <v>6116712</v>
      </c>
      <c r="H16" s="38">
        <f>1538800+1599500</f>
        <v>3138300</v>
      </c>
      <c r="I16" s="38">
        <v>3033107</v>
      </c>
      <c r="J16" s="38">
        <f>4884412+417873</f>
        <v>5302285</v>
      </c>
      <c r="K16" s="3">
        <v>0</v>
      </c>
      <c r="L16" s="38">
        <v>51323466</v>
      </c>
      <c r="M16" s="38">
        <v>3546315</v>
      </c>
      <c r="N16" s="38">
        <v>3345488</v>
      </c>
      <c r="O16" s="38">
        <v>11046044.630000001</v>
      </c>
      <c r="P16" s="3">
        <v>0</v>
      </c>
      <c r="Q16" s="3">
        <v>0</v>
      </c>
      <c r="R16" s="3">
        <v>0</v>
      </c>
      <c r="S16" s="3">
        <v>1394</v>
      </c>
      <c r="T16">
        <f>Table22[[#This Row],[EB Units
(KVAH)]]+Table22[[#This Row],[OA Considered
IEX (Kwh)]]+Table22[[#This Row],[OA Unit-LTPPA
(KWh)]]+Table22[[#This Row],[Solar-Rooftop
(KWh)]]+Table22[[#This Row],[DG Units
(Kwh)]]</f>
        <v>9463594</v>
      </c>
      <c r="U16">
        <f>Table22[[#This Row],[EB Value Total (Rs.)]]+Table22[[#This Row],[IEX-Value
(Rs.)]]+Table22[[#This Row],[LTPPA-Value
(Rs.)]]</f>
        <v>62369510.630000003</v>
      </c>
      <c r="V16" s="5">
        <f>IFERROR(Table22[[#This Row],[Total Value]]/(Table22[[#This Row],[EB Units
(KVAH)]]+Table22[[#This Row],[OA Considered
IEX (Kwh)]]+Table22[[#This Row],[OA Unit-LTPPA
(KWh)]]),"")</f>
        <v>6.5914386326647083</v>
      </c>
      <c r="W16" s="3">
        <v>0</v>
      </c>
    </row>
    <row r="17" spans="1:23" x14ac:dyDescent="0.35">
      <c r="A17" s="4">
        <v>45839</v>
      </c>
      <c r="B17" s="3" t="s">
        <v>41</v>
      </c>
      <c r="C17" s="3">
        <v>15000</v>
      </c>
      <c r="D17" s="3">
        <v>14874</v>
      </c>
      <c r="E17" t="str">
        <f>IF(Table22[[#This Row],[RMD
(KVA)]]&gt;Table22[[#This Row],[CMD
(KVA)]],Table22[[#This Row],[RMD
(KVA)]]-Table22[[#This Row],[CMD
(KVA)]],"")</f>
        <v/>
      </c>
      <c r="F17" s="3">
        <v>0</v>
      </c>
      <c r="G17" s="38">
        <v>6199640</v>
      </c>
      <c r="H17" s="38">
        <v>3209900</v>
      </c>
      <c r="I17" s="38">
        <v>3148800</v>
      </c>
      <c r="J17" s="38">
        <f>5107752+135239</f>
        <v>5242991</v>
      </c>
      <c r="K17" s="3">
        <v>0</v>
      </c>
      <c r="L17" s="38">
        <v>51408634</v>
      </c>
      <c r="M17" s="38">
        <v>3735110</v>
      </c>
      <c r="N17" s="38">
        <v>3498460</v>
      </c>
      <c r="O17" s="38">
        <v>13176896</v>
      </c>
      <c r="P17" s="3">
        <v>0</v>
      </c>
      <c r="Q17" s="3">
        <v>0</v>
      </c>
      <c r="R17" s="3">
        <v>0</v>
      </c>
      <c r="S17" s="3">
        <v>7820</v>
      </c>
      <c r="T17">
        <f>Table22[[#This Row],[EB Units
(KVAH)]]+Table22[[#This Row],[OA Considered
IEX (Kwh)]]+Table22[[#This Row],[OA Unit-LTPPA
(KWh)]]+Table22[[#This Row],[Solar-Rooftop
(KWh)]]+Table22[[#This Row],[DG Units
(Kwh)]]</f>
        <v>9705920</v>
      </c>
      <c r="U17">
        <f>Table22[[#This Row],[EB Value Total (Rs.)]]+Table22[[#This Row],[IEX-Value
(Rs.)]]+Table22[[#This Row],[LTPPA-Value
(Rs.)]]</f>
        <v>64585530</v>
      </c>
      <c r="V17" s="5">
        <f>IFERROR(Table22[[#This Row],[Total Value]]/(Table22[[#This Row],[EB Units
(KVAH)]]+Table22[[#This Row],[OA Considered
IEX (Kwh)]]+Table22[[#This Row],[OA Unit-LTPPA
(KWh)]]),"")</f>
        <v>6.6596065208649113</v>
      </c>
      <c r="W17" s="3">
        <v>0</v>
      </c>
    </row>
    <row r="18" spans="1:23" x14ac:dyDescent="0.35">
      <c r="A18" s="4">
        <v>45870</v>
      </c>
      <c r="B18" s="3" t="s">
        <v>41</v>
      </c>
      <c r="C18" s="3">
        <v>17550</v>
      </c>
      <c r="D18" s="3">
        <v>14699</v>
      </c>
      <c r="E18" t="str">
        <f>IF(Table22[[#This Row],[RMD
(KVA)]]&gt;Table22[[#This Row],[CMD
(KVA)]],Table22[[#This Row],[RMD
(KVA)]]-Table22[[#This Row],[CMD
(KVA)]],"")</f>
        <v/>
      </c>
      <c r="F18" s="3">
        <v>0</v>
      </c>
      <c r="G18" s="38">
        <v>5718528</v>
      </c>
      <c r="H18" s="38">
        <v>2948700</v>
      </c>
      <c r="I18" s="38">
        <v>2897200</v>
      </c>
      <c r="J18" s="38">
        <f>4540121+16668</f>
        <v>4556789</v>
      </c>
      <c r="K18" s="3">
        <v>0</v>
      </c>
      <c r="L18" s="38">
        <v>47780366</v>
      </c>
      <c r="M18" s="38">
        <v>3128570</v>
      </c>
      <c r="N18" s="38">
        <f>3098177+11495</f>
        <v>3109672</v>
      </c>
      <c r="O18" s="38">
        <v>10611949.6</v>
      </c>
      <c r="P18" s="38">
        <v>0</v>
      </c>
      <c r="Q18" s="3">
        <v>0</v>
      </c>
      <c r="R18" s="3">
        <v>0</v>
      </c>
      <c r="S18" s="3">
        <v>52600</v>
      </c>
      <c r="T18">
        <f>Table22[[#This Row],[EB Units
(KVAH)]]+Table22[[#This Row],[OA Considered
IEX (Kwh)]]+Table22[[#This Row],[OA Unit-LTPPA
(KWh)]]+Table22[[#This Row],[Solar-Rooftop
(KWh)]]+Table22[[#This Row],[DG Units
(Kwh)]]</f>
        <v>8880800</v>
      </c>
      <c r="U18">
        <f>Table22[[#This Row],[EB Value Total (Rs.)]]+Table22[[#This Row],[IEX-Value
(Rs.)]]+Table22[[#This Row],[LTPPA-Value
(Rs.)]]</f>
        <v>58392315.600000001</v>
      </c>
      <c r="V18" s="5">
        <f>IFERROR(Table22[[#This Row],[Total Value]]/(Table22[[#This Row],[EB Units
(KVAH)]]+Table22[[#This Row],[OA Considered
IEX (Kwh)]]+Table22[[#This Row],[OA Unit-LTPPA
(KWh)]]),"")</f>
        <v>6.6142946013909976</v>
      </c>
      <c r="W18" s="3">
        <v>0</v>
      </c>
    </row>
    <row r="19" spans="1:23" x14ac:dyDescent="0.35">
      <c r="A19" s="4">
        <v>45901</v>
      </c>
      <c r="B19" s="3" t="s">
        <v>41</v>
      </c>
      <c r="C19" s="3">
        <v>17550</v>
      </c>
      <c r="D19" s="3">
        <v>14901.8</v>
      </c>
      <c r="E19" t="str">
        <f>IF(Table22[[#This Row],[RMD
(KVA)]]&gt;Table22[[#This Row],[CMD
(KVA)]],Table22[[#This Row],[RMD
(KVA)]]-Table22[[#This Row],[CMD
(KVA)]],"")</f>
        <v/>
      </c>
      <c r="F19" s="3">
        <v>0</v>
      </c>
      <c r="G19" s="38">
        <v>5555712</v>
      </c>
      <c r="H19" s="38">
        <v>2924900</v>
      </c>
      <c r="I19" s="38">
        <v>2807400</v>
      </c>
      <c r="J19" s="38">
        <f>4788490+15273</f>
        <v>4803763</v>
      </c>
      <c r="K19" s="3">
        <v>0</v>
      </c>
      <c r="L19" s="38">
        <v>47078653</v>
      </c>
      <c r="M19" s="38">
        <v>3279788</v>
      </c>
      <c r="N19" s="38">
        <v>3279788</v>
      </c>
      <c r="O19" s="38">
        <v>10317705.122976502</v>
      </c>
      <c r="P19" s="38">
        <v>0</v>
      </c>
      <c r="Q19" s="3">
        <v>0</v>
      </c>
      <c r="R19" s="3">
        <v>0</v>
      </c>
      <c r="S19" s="3">
        <v>0</v>
      </c>
      <c r="T19">
        <f>Table22[[#This Row],[EB Units
(KVAH)]]+Table22[[#This Row],[OA Considered
IEX (Kwh)]]+Table22[[#This Row],[OA Unit-LTPPA
(KWh)]]+Table22[[#This Row],[Solar-Rooftop
(KWh)]]+Table22[[#This Row],[DG Units
(Kwh)]]</f>
        <v>8835500</v>
      </c>
      <c r="U19">
        <f>Table22[[#This Row],[EB Value Total (Rs.)]]+Table22[[#This Row],[IEX-Value
(Rs.)]]+Table22[[#This Row],[LTPPA-Value
(Rs.)]]</f>
        <v>57396358.122976504</v>
      </c>
      <c r="V19" s="5">
        <f>IFERROR(Table22[[#This Row],[Total Value]]/(Table22[[#This Row],[EB Units
(KVAH)]]+Table22[[#This Row],[OA Considered
IEX (Kwh)]]+Table22[[#This Row],[OA Unit-LTPPA
(KWh)]]),"")</f>
        <v>6.4961075347152404</v>
      </c>
      <c r="W19" s="3">
        <v>0</v>
      </c>
    </row>
    <row r="20" spans="1:23" x14ac:dyDescent="0.35">
      <c r="A20" s="4">
        <v>45931</v>
      </c>
      <c r="B20" s="3" t="s">
        <v>41</v>
      </c>
      <c r="C20" s="3">
        <v>17550</v>
      </c>
      <c r="D20" s="3">
        <v>14432</v>
      </c>
      <c r="E20" t="str">
        <f>IF(Table22[[#This Row],[RMD
(KVA)]]&gt;Table22[[#This Row],[CMD
(KVA)]],Table22[[#This Row],[RMD
(KVA)]]-Table22[[#This Row],[CMD
(KVA)]],"")</f>
        <v/>
      </c>
      <c r="F20" s="3">
        <v>0</v>
      </c>
      <c r="G20" s="38">
        <v>4417763</v>
      </c>
      <c r="H20" s="38">
        <v>2922200</v>
      </c>
      <c r="I20" s="38">
        <v>2812600</v>
      </c>
      <c r="J20" s="38">
        <f>6389744+K240</f>
        <v>6389744</v>
      </c>
      <c r="K20" s="3">
        <v>0</v>
      </c>
      <c r="L20" s="38">
        <v>41258922</v>
      </c>
      <c r="M20" s="38">
        <v>4383420</v>
      </c>
      <c r="N20" s="38">
        <v>4376537</v>
      </c>
      <c r="O20" s="38">
        <v>13095791</v>
      </c>
      <c r="P20" s="38">
        <v>0</v>
      </c>
      <c r="Q20" s="3">
        <v>0</v>
      </c>
      <c r="R20" s="3">
        <v>0</v>
      </c>
      <c r="S20" s="3">
        <v>8630</v>
      </c>
      <c r="T20">
        <f>Table22[[#This Row],[EB Units
(KVAH)]]+Table22[[#This Row],[OA Considered
IEX (Kwh)]]+Table22[[#This Row],[OA Unit-LTPPA
(KWh)]]+Table22[[#This Row],[Solar-Rooftop
(KWh)]]+Table22[[#This Row],[DG Units
(Kwh)]]</f>
        <v>8802930</v>
      </c>
      <c r="U20">
        <f>Table22[[#This Row],[EB Value Total (Rs.)]]+Table22[[#This Row],[IEX-Value
(Rs.)]]+Table22[[#This Row],[LTPPA-Value
(Rs.)]]</f>
        <v>54354713</v>
      </c>
      <c r="V20" s="5">
        <f>IFERROR(Table22[[#This Row],[Total Value]]/(Table22[[#This Row],[EB Units
(KVAH)]]+Table22[[#This Row],[OA Considered
IEX (Kwh)]]+Table22[[#This Row],[OA Unit-LTPPA
(KWh)]]),"")</f>
        <v>6.1806753237892726</v>
      </c>
      <c r="W20" s="3">
        <v>0</v>
      </c>
    </row>
    <row r="21" spans="1:23" x14ac:dyDescent="0.35">
      <c r="A21" s="4">
        <v>45962</v>
      </c>
      <c r="B21" s="3" t="s">
        <v>41</v>
      </c>
      <c r="C21" s="3">
        <v>17550</v>
      </c>
      <c r="D21" s="3">
        <v>14659.2</v>
      </c>
      <c r="E21" t="str">
        <f>IF(Table22[[#This Row],[RMD
(KVA)]]&gt;Table22[[#This Row],[CMD
(KVA)]],Table22[[#This Row],[RMD
(KVA)]]-Table22[[#This Row],[CMD
(KVA)]],"")</f>
        <v/>
      </c>
      <c r="F21" s="3">
        <v>0</v>
      </c>
      <c r="G21" s="38">
        <v>3549428</v>
      </c>
      <c r="H21" s="38">
        <v>2679500</v>
      </c>
      <c r="I21" s="38">
        <v>2297160</v>
      </c>
      <c r="J21" s="38">
        <v>6528787</v>
      </c>
      <c r="K21" s="3">
        <v>0</v>
      </c>
      <c r="L21" s="38">
        <v>36397699</v>
      </c>
      <c r="M21" s="38">
        <v>4472850</v>
      </c>
      <c r="N21" s="39">
        <v>4471772</v>
      </c>
      <c r="O21" s="38">
        <v>15333182.25</v>
      </c>
      <c r="P21" s="38">
        <v>0</v>
      </c>
      <c r="Q21" s="3">
        <v>0</v>
      </c>
      <c r="R21" s="3">
        <v>0</v>
      </c>
      <c r="S21" s="3">
        <v>25606</v>
      </c>
      <c r="T21">
        <f>Table22[[#This Row],[EB Units
(KVAH)]]+Table22[[#This Row],[OA Considered
IEX (Kwh)]]+Table22[[#This Row],[OA Unit-LTPPA
(KWh)]]+Table22[[#This Row],[Solar-Rooftop
(KWh)]]+Table22[[#This Row],[DG Units
(Kwh)]]</f>
        <v>8046806</v>
      </c>
      <c r="U21">
        <f>Table22[[#This Row],[EB Value Total (Rs.)]]+Table22[[#This Row],[IEX-Value
(Rs.)]]+Table22[[#This Row],[LTPPA-Value
(Rs.)]]</f>
        <v>51730881.25</v>
      </c>
      <c r="V21" s="5">
        <f>IFERROR(Table22[[#This Row],[Total Value]]/(Table22[[#This Row],[EB Units
(KVAH)]]+Table22[[#This Row],[OA Considered
IEX (Kwh)]]+Table22[[#This Row],[OA Unit-LTPPA
(KWh)]]),"")</f>
        <v>6.4492695918316461</v>
      </c>
      <c r="W21" s="3">
        <v>0</v>
      </c>
    </row>
    <row r="22" spans="1:23" x14ac:dyDescent="0.35">
      <c r="A22" s="4">
        <v>45992</v>
      </c>
      <c r="B22" s="3" t="s">
        <v>41</v>
      </c>
      <c r="C22" s="3">
        <v>17550</v>
      </c>
      <c r="D22" s="3">
        <v>14040</v>
      </c>
      <c r="E22" t="str">
        <f>IF(Table22[[#This Row],[RMD
(KVA)]]&gt;Table22[[#This Row],[CMD
(KVA)]],Table22[[#This Row],[RMD
(KVA)]]-Table22[[#This Row],[CMD
(KVA)]],"")</f>
        <v/>
      </c>
      <c r="F22" s="3">
        <v>0</v>
      </c>
      <c r="G22" s="38">
        <v>2642990</v>
      </c>
      <c r="H22" s="38">
        <v>2545700</v>
      </c>
      <c r="I22" s="40">
        <v>2502300</v>
      </c>
      <c r="J22" s="38">
        <v>7340311</v>
      </c>
      <c r="K22" s="3">
        <v>0</v>
      </c>
      <c r="L22" s="38">
        <v>33171739</v>
      </c>
      <c r="M22" s="38">
        <v>5028220</v>
      </c>
      <c r="N22" s="41">
        <v>5027610</v>
      </c>
      <c r="O22" s="38">
        <v>22124495</v>
      </c>
      <c r="P22" s="38">
        <v>0</v>
      </c>
      <c r="Q22" s="3">
        <v>0</v>
      </c>
      <c r="R22" s="3">
        <v>0</v>
      </c>
      <c r="S22" s="3">
        <v>0</v>
      </c>
      <c r="T22">
        <f>Table22[[#This Row],[EB Units
(KVAH)]]+Table22[[#This Row],[OA Considered
IEX (Kwh)]]+Table22[[#This Row],[OA Unit-LTPPA
(KWh)]]+Table22[[#This Row],[Solar-Rooftop
(KWh)]]+Table22[[#This Row],[DG Units
(Kwh)]]</f>
        <v>7670600</v>
      </c>
      <c r="U22">
        <f>Table22[[#This Row],[EB Value Total (Rs.)]]+Table22[[#This Row],[IEX-Value
(Rs.)]]+Table22[[#This Row],[LTPPA-Value
(Rs.)]]</f>
        <v>55296234</v>
      </c>
      <c r="V22" s="5">
        <f>IFERROR(Table22[[#This Row],[Total Value]]/(Table22[[#This Row],[EB Units
(KVAH)]]+Table22[[#This Row],[OA Considered
IEX (Kwh)]]+Table22[[#This Row],[OA Unit-LTPPA
(KWh)]]),"")</f>
        <v>7.2088538054389488</v>
      </c>
      <c r="W22" s="3">
        <v>0</v>
      </c>
    </row>
    <row r="23" spans="1:23" x14ac:dyDescent="0.35">
      <c r="A23" s="4">
        <v>46023</v>
      </c>
      <c r="B23" s="3" t="s">
        <v>41</v>
      </c>
      <c r="C23" s="3">
        <v>17550</v>
      </c>
      <c r="D23" s="3">
        <v>14040</v>
      </c>
      <c r="E23" t="str">
        <f>IF(Table22[[#This Row],[RMD
(KVA)]]&gt;Table22[[#This Row],[CMD
(KVA)]],Table22[[#This Row],[RMD
(KVA)]]-Table22[[#This Row],[CMD
(KVA)]],"")</f>
        <v/>
      </c>
      <c r="F23" s="3">
        <v>0</v>
      </c>
      <c r="G23" s="38">
        <v>2441854</v>
      </c>
      <c r="H23" s="38">
        <v>2419100</v>
      </c>
      <c r="I23" s="38">
        <v>2331500</v>
      </c>
      <c r="J23" s="38">
        <v>7082527</v>
      </c>
      <c r="K23" s="3">
        <v>0</v>
      </c>
      <c r="L23" s="38">
        <v>31548991</v>
      </c>
      <c r="M23" s="38">
        <v>4854690</v>
      </c>
      <c r="N23" s="38">
        <v>4851046</v>
      </c>
      <c r="O23" s="38">
        <v>20919038.859999999</v>
      </c>
      <c r="P23" s="3">
        <v>0</v>
      </c>
      <c r="Q23" s="3">
        <v>0</v>
      </c>
      <c r="R23" s="3">
        <v>0</v>
      </c>
      <c r="S23" s="3">
        <v>2926</v>
      </c>
      <c r="T23">
        <f>Table22[[#This Row],[EB Units
(KVAH)]]+Table22[[#This Row],[OA Considered
IEX (Kwh)]]+Table22[[#This Row],[OA Unit-LTPPA
(KWh)]]+Table22[[#This Row],[Solar-Rooftop
(KWh)]]+Table22[[#This Row],[DG Units
(Kwh)]]</f>
        <v>7295826</v>
      </c>
      <c r="U23">
        <f>Table22[[#This Row],[EB Value Total (Rs.)]]+Table22[[#This Row],[IEX-Value
(Rs.)]]+Table22[[#This Row],[LTPPA-Value
(Rs.)]]</f>
        <v>52468029.859999999</v>
      </c>
      <c r="V23" s="5">
        <f>IFERROR(Table22[[#This Row],[Total Value]]/(Table22[[#This Row],[EB Units
(KVAH)]]+Table22[[#This Row],[OA Considered
IEX (Kwh)]]+Table22[[#This Row],[OA Unit-LTPPA
(KWh)]]),"")</f>
        <v>7.1943986425153232</v>
      </c>
      <c r="W23" s="3">
        <v>0</v>
      </c>
    </row>
    <row r="24" spans="1:23" x14ac:dyDescent="0.35">
      <c r="A24" s="4">
        <v>46054</v>
      </c>
      <c r="B24" s="3" t="s">
        <v>41</v>
      </c>
      <c r="C24" s="3">
        <v>17550</v>
      </c>
      <c r="D24" s="3">
        <v>14040</v>
      </c>
      <c r="E24" t="str">
        <f>IF(Table22[[#This Row],[RMD
(KVA)]]&gt;Table22[[#This Row],[CMD
(KVA)]],Table22[[#This Row],[RMD
(KVA)]]-Table22[[#This Row],[CMD
(KVA)]],"")</f>
        <v/>
      </c>
      <c r="F24" s="3">
        <v>0</v>
      </c>
      <c r="G24" s="38">
        <v>2043643</v>
      </c>
      <c r="H24" s="38">
        <v>2350000</v>
      </c>
      <c r="I24" s="38">
        <v>2253500</v>
      </c>
      <c r="J24" s="38">
        <v>7371915</v>
      </c>
      <c r="K24" s="3">
        <v>0</v>
      </c>
      <c r="L24" s="38">
        <v>29067644</v>
      </c>
      <c r="M24" s="3">
        <v>5049920.0000000009</v>
      </c>
      <c r="N24" s="38">
        <v>5049257</v>
      </c>
      <c r="O24" s="3">
        <v>20797283.5</v>
      </c>
      <c r="P24" s="3">
        <v>0</v>
      </c>
      <c r="Q24" s="3">
        <v>0</v>
      </c>
      <c r="R24" s="3">
        <v>0</v>
      </c>
      <c r="S24" s="3">
        <v>0</v>
      </c>
      <c r="T24">
        <f>Table22[[#This Row],[EB Units
(KVAH)]]+Table22[[#This Row],[OA Considered
IEX (Kwh)]]+Table22[[#This Row],[OA Unit-LTPPA
(KWh)]]+Table22[[#This Row],[Solar-Rooftop
(KWh)]]+Table22[[#This Row],[DG Units
(Kwh)]]</f>
        <v>7092900</v>
      </c>
      <c r="U24">
        <f>Table22[[#This Row],[EB Value Total (Rs.)]]+Table22[[#This Row],[IEX-Value
(Rs.)]]+Table22[[#This Row],[LTPPA-Value
(Rs.)]]</f>
        <v>49864927.5</v>
      </c>
      <c r="V24" s="5">
        <f>IFERROR(Table22[[#This Row],[Total Value]]/(Table22[[#This Row],[EB Units
(KVAH)]]+Table22[[#This Row],[OA Considered
IEX (Kwh)]]+Table22[[#This Row],[OA Unit-LTPPA
(KWh)]]),"")</f>
        <v>7.0302594848369493</v>
      </c>
      <c r="W24" s="3">
        <v>0</v>
      </c>
    </row>
    <row r="25" spans="1:23" x14ac:dyDescent="0.35">
      <c r="A25" s="4">
        <v>46082</v>
      </c>
      <c r="B25" s="3" t="s">
        <v>41</v>
      </c>
      <c r="C25" s="3">
        <v>17550</v>
      </c>
      <c r="D25" s="3">
        <v>14040</v>
      </c>
      <c r="E25" t="str">
        <f>IF(Table22[[#This Row],[RMD
(KVA)]]&gt;Table22[[#This Row],[CMD
(KVA)]],Table22[[#This Row],[RMD
(KVA)]]-Table22[[#This Row],[CMD
(KVA)]],"")</f>
        <v/>
      </c>
      <c r="F25" s="3">
        <v>0</v>
      </c>
      <c r="G25" s="38">
        <v>3042207</v>
      </c>
      <c r="H25" s="38">
        <v>2630700</v>
      </c>
      <c r="I25" s="38">
        <v>2524500</v>
      </c>
      <c r="J25" s="38">
        <v>7152092</v>
      </c>
      <c r="K25" s="3">
        <v>0</v>
      </c>
      <c r="L25" s="38">
        <v>35758835</v>
      </c>
      <c r="M25" s="3">
        <v>4899690.0000000009</v>
      </c>
      <c r="N25" s="41">
        <v>4898693</v>
      </c>
      <c r="O25" s="3">
        <v>20291967.979999997</v>
      </c>
      <c r="P25" s="3">
        <v>0</v>
      </c>
      <c r="Q25" s="3">
        <v>0</v>
      </c>
      <c r="R25" s="3">
        <v>0</v>
      </c>
      <c r="S25" s="3">
        <v>0</v>
      </c>
      <c r="T25">
        <f>Table22[[#This Row],[EB Units
(KVAH)]]+Table22[[#This Row],[OA Considered
IEX (Kwh)]]+Table22[[#This Row],[OA Unit-LTPPA
(KWh)]]+Table22[[#This Row],[Solar-Rooftop
(KWh)]]+Table22[[#This Row],[DG Units
(Kwh)]]</f>
        <v>7940900</v>
      </c>
      <c r="U25">
        <f>Table22[[#This Row],[EB Value Total (Rs.)]]+Table22[[#This Row],[IEX-Value
(Rs.)]]+Table22[[#This Row],[LTPPA-Value
(Rs.)]]</f>
        <v>56050802.979999997</v>
      </c>
      <c r="V25" s="5">
        <f>IFERROR(Table22[[#This Row],[Total Value]]/(Table22[[#This Row],[EB Units
(KVAH)]]+Table22[[#This Row],[OA Considered
IEX (Kwh)]]+Table22[[#This Row],[OA Unit-LTPPA
(KWh)]]),"")</f>
        <v>7.0584950043445955</v>
      </c>
      <c r="W25" s="3">
        <v>0</v>
      </c>
    </row>
    <row r="26" spans="1:23" x14ac:dyDescent="0.35">
      <c r="A26" s="4">
        <v>46113</v>
      </c>
      <c r="B26" s="3" t="s">
        <v>41</v>
      </c>
      <c r="C26" s="3">
        <v>17550</v>
      </c>
      <c r="D26" s="3">
        <v>14040</v>
      </c>
      <c r="E26" t="str">
        <f>IF(Table22[[#This Row],[RMD
(KVA)]]&gt;Table22[[#This Row],[CMD
(KVA)]],Table22[[#This Row],[RMD
(KVA)]]-Table22[[#This Row],[CMD
(KVA)]],"")</f>
        <v/>
      </c>
      <c r="F26" s="3">
        <v>0</v>
      </c>
      <c r="G26" s="38">
        <v>4399677</v>
      </c>
      <c r="H26" s="38">
        <v>2739300</v>
      </c>
      <c r="I26" s="38">
        <v>2898300</v>
      </c>
      <c r="J26" s="38">
        <v>6419301</v>
      </c>
      <c r="K26" s="3">
        <v>0</v>
      </c>
      <c r="L26" s="38">
        <v>44686381</v>
      </c>
      <c r="M26" s="3">
        <v>3860520.0000000005</v>
      </c>
      <c r="N26" s="38">
        <v>3859823</v>
      </c>
      <c r="O26" s="3">
        <v>13694347.189999999</v>
      </c>
      <c r="P26" s="3">
        <v>0</v>
      </c>
      <c r="Q26" s="3">
        <v>0</v>
      </c>
      <c r="R26" s="3">
        <v>0</v>
      </c>
      <c r="S26" s="3">
        <v>0</v>
      </c>
      <c r="T26">
        <f>Table22[[#This Row],[EB Units
(KVAH)]]+Table22[[#This Row],[OA Considered
IEX (Kwh)]]+Table22[[#This Row],[OA Unit-LTPPA
(KWh)]]+Table22[[#This Row],[Solar-Rooftop
(KWh)]]+Table22[[#This Row],[DG Units
(Kwh)]]</f>
        <v>8259500</v>
      </c>
      <c r="U26">
        <f>Table22[[#This Row],[EB Value Total (Rs.)]]+Table22[[#This Row],[IEX-Value
(Rs.)]]+Table22[[#This Row],[LTPPA-Value
(Rs.)]]</f>
        <v>58380728.189999998</v>
      </c>
      <c r="V26" s="5">
        <f>IFERROR(Table22[[#This Row],[Total Value]]/(Table22[[#This Row],[EB Units
(KVAH)]]+Table22[[#This Row],[OA Considered
IEX (Kwh)]]+Table22[[#This Row],[OA Unit-LTPPA
(KWh)]]),"")</f>
        <v>7.0683126327259513</v>
      </c>
      <c r="W26" s="3">
        <v>6303271</v>
      </c>
    </row>
    <row r="27" spans="1:23" x14ac:dyDescent="0.35">
      <c r="A27" s="4">
        <v>46143</v>
      </c>
      <c r="B27" s="3" t="s">
        <v>41</v>
      </c>
      <c r="C27" s="3">
        <v>17550</v>
      </c>
      <c r="D27" s="3">
        <v>14044.5</v>
      </c>
      <c r="E27" t="str">
        <f>IF(Table22[[#This Row],[RMD
(KVA)]]&gt;Table22[[#This Row],[CMD
(KVA)]],Table22[[#This Row],[RMD
(KVA)]]-Table22[[#This Row],[CMD
(KVA)]],"")</f>
        <v/>
      </c>
      <c r="F27" s="3">
        <v>0</v>
      </c>
      <c r="G27" s="38">
        <v>4493420</v>
      </c>
      <c r="H27" s="38">
        <v>2918200</v>
      </c>
      <c r="I27" s="38">
        <v>3068200</v>
      </c>
      <c r="J27" s="38">
        <v>7179253</v>
      </c>
      <c r="K27" s="3">
        <v>0</v>
      </c>
      <c r="L27" s="38">
        <v>45707572</v>
      </c>
      <c r="M27" s="3">
        <v>4297730</v>
      </c>
      <c r="N27" s="38">
        <v>4297580</v>
      </c>
      <c r="O27" s="3">
        <v>15581950.530000001</v>
      </c>
      <c r="P27" s="3">
        <v>0</v>
      </c>
      <c r="Q27" s="3">
        <v>0</v>
      </c>
      <c r="R27" s="3">
        <v>0</v>
      </c>
      <c r="S27" s="3">
        <v>0</v>
      </c>
      <c r="T27">
        <f>Table22[[#This Row],[EB Units
(KVAH)]]+Table22[[#This Row],[OA Considered
IEX (Kwh)]]+Table22[[#This Row],[OA Unit-LTPPA
(KWh)]]+Table22[[#This Row],[Solar-Rooftop
(KWh)]]+Table22[[#This Row],[DG Units
(Kwh)]]</f>
        <v>8791000</v>
      </c>
      <c r="U27">
        <f>Table22[[#This Row],[EB Value Total (Rs.)]]+Table22[[#This Row],[IEX-Value
(Rs.)]]+Table22[[#This Row],[LTPPA-Value
(Rs.)]]</f>
        <v>61289522.530000001</v>
      </c>
      <c r="V27" s="5">
        <f>IFERROR(Table22[[#This Row],[Total Value]]/(Table22[[#This Row],[EB Units
(KVAH)]]+Table22[[#This Row],[OA Considered
IEX (Kwh)]]+Table22[[#This Row],[OA Unit-LTPPA
(KWh)]]),"")</f>
        <v>6.9718487691957689</v>
      </c>
      <c r="W27" s="3">
        <v>0</v>
      </c>
    </row>
    <row r="28" spans="1:23" x14ac:dyDescent="0.35">
      <c r="A28" s="4">
        <v>46174</v>
      </c>
      <c r="B28" s="3" t="s">
        <v>41</v>
      </c>
      <c r="C28" s="3">
        <v>17550</v>
      </c>
      <c r="D28" s="3">
        <v>14377.8</v>
      </c>
      <c r="E28" t="str">
        <f>IF(Table22[[#This Row],[RMD
(KVA)]]&gt;Table22[[#This Row],[CMD
(KVA)]],Table22[[#This Row],[RMD
(KVA)]]-Table22[[#This Row],[CMD
(KVA)]],"")</f>
        <v/>
      </c>
      <c r="F28" s="3">
        <v>0</v>
      </c>
      <c r="G28" s="38">
        <v>4517157</v>
      </c>
      <c r="H28" s="38">
        <v>2919800</v>
      </c>
      <c r="I28" s="38">
        <v>3091900</v>
      </c>
      <c r="J28" s="38">
        <v>7126570</v>
      </c>
      <c r="K28" s="3">
        <v>0</v>
      </c>
      <c r="L28" s="38">
        <v>45915707</v>
      </c>
      <c r="M28" s="38">
        <v>4278070</v>
      </c>
      <c r="N28" s="38">
        <v>4277743</v>
      </c>
      <c r="O28" s="3">
        <v>15134769.040000001</v>
      </c>
      <c r="P28" s="3">
        <v>0</v>
      </c>
      <c r="Q28" s="3">
        <v>0</v>
      </c>
      <c r="R28" s="3">
        <v>0</v>
      </c>
      <c r="S28" s="3">
        <v>0</v>
      </c>
      <c r="T28">
        <f>Table22[[#This Row],[EB Units
(KVAH)]]+Table22[[#This Row],[OA Considered
IEX (Kwh)]]+Table22[[#This Row],[OA Unit-LTPPA
(KWh)]]+Table22[[#This Row],[Solar-Rooftop
(KWh)]]+Table22[[#This Row],[DG Units
(Kwh)]]</f>
        <v>8794900</v>
      </c>
      <c r="U28">
        <f>Table22[[#This Row],[EB Value Total (Rs.)]]+Table22[[#This Row],[IEX-Value
(Rs.)]]+Table22[[#This Row],[LTPPA-Value
(Rs.)]]</f>
        <v>61050476.039999999</v>
      </c>
      <c r="V28" s="5">
        <f>IFERROR(Table22[[#This Row],[Total Value]]/(Table22[[#This Row],[EB Units
(KVAH)]]+Table22[[#This Row],[OA Considered
IEX (Kwh)]]+Table22[[#This Row],[OA Unit-LTPPA
(KWh)]]),"")</f>
        <v>6.9415770548840801</v>
      </c>
      <c r="W28" s="3">
        <v>0</v>
      </c>
    </row>
    <row r="29" spans="1:23" x14ac:dyDescent="0.35">
      <c r="N29" s="3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C997-9F93-4EA5-9226-C78B7799A361}">
  <dimension ref="A1:Q32"/>
  <sheetViews>
    <sheetView topLeftCell="A19" workbookViewId="0">
      <selection activeCell="N23" sqref="N23"/>
    </sheetView>
  </sheetViews>
  <sheetFormatPr defaultRowHeight="14.5" x14ac:dyDescent="0.35"/>
  <cols>
    <col min="1" max="1" width="11.90625" style="45" customWidth="1"/>
    <col min="2" max="2" width="10.36328125" style="45" customWidth="1"/>
    <col min="3" max="4" width="8.7265625" style="45"/>
    <col min="5" max="5" width="17.7265625" style="45" customWidth="1"/>
    <col min="6" max="6" width="14.453125" style="45" customWidth="1"/>
    <col min="7" max="7" width="12.08984375" style="45" customWidth="1"/>
    <col min="8" max="8" width="11.36328125" style="45" customWidth="1"/>
    <col min="9" max="9" width="12.90625" style="45" customWidth="1"/>
    <col min="10" max="10" width="14.90625" style="45" customWidth="1"/>
    <col min="11" max="11" width="11" style="45" customWidth="1"/>
    <col min="12" max="12" width="0" style="45" hidden="1" customWidth="1"/>
    <col min="13" max="13" width="8.7265625" style="45"/>
    <col min="14" max="14" width="10.6328125" style="45" customWidth="1"/>
    <col min="15" max="15" width="12.08984375" style="45" customWidth="1"/>
    <col min="16" max="16" width="13.90625" style="45" customWidth="1"/>
    <col min="17" max="17" width="29.6328125" style="45" customWidth="1"/>
  </cols>
  <sheetData>
    <row r="1" spans="1:17" ht="27" customHeight="1" x14ac:dyDescent="0.35">
      <c r="A1" s="44" t="s">
        <v>45</v>
      </c>
      <c r="B1" s="44" t="s">
        <v>46</v>
      </c>
    </row>
    <row r="2" spans="1:17" ht="72.5" x14ac:dyDescent="0.35">
      <c r="A2" s="1" t="s">
        <v>1</v>
      </c>
      <c r="B2" s="1" t="s">
        <v>2</v>
      </c>
      <c r="C2" s="2" t="s">
        <v>11</v>
      </c>
      <c r="D2" s="2" t="s">
        <v>10</v>
      </c>
      <c r="E2" s="2" t="s">
        <v>16</v>
      </c>
      <c r="F2" s="2" t="s">
        <v>17</v>
      </c>
      <c r="G2" s="2" t="s">
        <v>18</v>
      </c>
      <c r="H2" s="2" t="s">
        <v>8</v>
      </c>
      <c r="I2" s="2" t="s">
        <v>7</v>
      </c>
      <c r="J2" s="2" t="s">
        <v>47</v>
      </c>
      <c r="K2" s="2" t="s">
        <v>48</v>
      </c>
      <c r="L2" s="2" t="s">
        <v>5</v>
      </c>
      <c r="M2" s="2" t="s">
        <v>6</v>
      </c>
      <c r="N2" s="1" t="s">
        <v>0</v>
      </c>
      <c r="O2" s="1" t="s">
        <v>3</v>
      </c>
      <c r="P2" s="1" t="s">
        <v>22</v>
      </c>
      <c r="Q2" s="2" t="s">
        <v>21</v>
      </c>
    </row>
    <row r="3" spans="1:17" hidden="1" x14ac:dyDescent="0.35">
      <c r="A3" s="46">
        <v>45383</v>
      </c>
      <c r="B3" s="47" t="s">
        <v>49</v>
      </c>
      <c r="C3" s="48">
        <v>6500</v>
      </c>
      <c r="D3" s="48">
        <v>5989</v>
      </c>
      <c r="E3" s="48">
        <v>3379160</v>
      </c>
      <c r="F3" s="48">
        <v>0</v>
      </c>
      <c r="G3" s="48">
        <v>24720000</v>
      </c>
      <c r="H3" s="48">
        <v>0</v>
      </c>
      <c r="I3" s="48">
        <v>0</v>
      </c>
      <c r="J3" s="48">
        <v>0</v>
      </c>
      <c r="K3" s="48">
        <v>0</v>
      </c>
      <c r="L3" s="48">
        <v>0</v>
      </c>
      <c r="M3" s="49">
        <v>46427.599999999831</v>
      </c>
      <c r="N3" s="50">
        <f>Table2245[[#This Row],[EB Units
(KVAH)]]+Table2245[[#This Row],[OA Considered
IEX (Kwh)]]+Table2245[[#This Row],[OA (NVNR SOLAR)  Unit-LTPPA
(KWh)]]+Table2245[[#This Row],[Solar-Rooftop
(KWh)]]+Table2245[[#This Row],[DG Units
(Kwh)]]</f>
        <v>3425587.5999999996</v>
      </c>
      <c r="O3" s="49">
        <f>Table2245[[#This Row],[EB Value Total (Rs.)]]+Table2245[[#This Row],[IEX-Value
(Rs.)]]+Table2245[[#This Row],[LTPPA                  ( NVNR solar ) -Value
(Rs.)]]</f>
        <v>24720000</v>
      </c>
      <c r="P3" s="51">
        <f>IFERROR(Table2245[[#This Row],[Total Value]]/(Table2245[[#This Row],[EB Units
(KVAH)]]+Table2245[[#This Row],[OA Considered
IEX (Kwh)]]+Table2245[[#This Row],[OA (NVNR SOLAR)  Unit-LTPPA
(KWh)]]),"")</f>
        <v>7.3154275026929767</v>
      </c>
      <c r="Q3" s="48" t="s">
        <v>50</v>
      </c>
    </row>
    <row r="4" spans="1:17" hidden="1" x14ac:dyDescent="0.35">
      <c r="A4" s="46">
        <v>45413</v>
      </c>
      <c r="B4" s="47" t="s">
        <v>49</v>
      </c>
      <c r="C4" s="48">
        <v>6500</v>
      </c>
      <c r="D4" s="48">
        <v>6588</v>
      </c>
      <c r="E4" s="48">
        <v>3856800</v>
      </c>
      <c r="F4" s="48">
        <v>0</v>
      </c>
      <c r="G4" s="48">
        <v>31000000</v>
      </c>
      <c r="H4" s="48">
        <v>0</v>
      </c>
      <c r="I4" s="48">
        <v>0</v>
      </c>
      <c r="J4" s="48">
        <v>0</v>
      </c>
      <c r="K4" s="48">
        <v>0</v>
      </c>
      <c r="L4" s="48">
        <v>0</v>
      </c>
      <c r="M4" s="49">
        <v>22089.000000000015</v>
      </c>
      <c r="N4" s="50">
        <f>Table2245[[#This Row],[EB Units
(KVAH)]]+Table2245[[#This Row],[OA Considered
IEX (Kwh)]]+Table2245[[#This Row],[OA (NVNR SOLAR)  Unit-LTPPA
(KWh)]]+Table2245[[#This Row],[Solar-Rooftop
(KWh)]]+Table2245[[#This Row],[DG Units
(Kwh)]]</f>
        <v>3878889</v>
      </c>
      <c r="O4" s="49">
        <f>Table2245[[#This Row],[EB Value Total (Rs.)]]+Table2245[[#This Row],[IEX-Value
(Rs.)]]+Table2245[[#This Row],[LTPPA                  ( NVNR solar ) -Value
(Rs.)]]</f>
        <v>31000000</v>
      </c>
      <c r="P4" s="51">
        <f>IFERROR(Table2245[[#This Row],[Total Value]]/(Table2245[[#This Row],[EB Units
(KVAH)]]+Table2245[[#This Row],[OA Considered
IEX (Kwh)]]+Table2245[[#This Row],[OA (NVNR SOLAR)  Unit-LTPPA
(KWh)]]),"")</f>
        <v>8.037751503837379</v>
      </c>
      <c r="Q4" s="48"/>
    </row>
    <row r="5" spans="1:17" hidden="1" x14ac:dyDescent="0.35">
      <c r="A5" s="46">
        <v>45444</v>
      </c>
      <c r="B5" s="47" t="s">
        <v>49</v>
      </c>
      <c r="C5" s="48">
        <v>6500</v>
      </c>
      <c r="D5" s="48">
        <v>6385</v>
      </c>
      <c r="E5" s="48">
        <v>3328520</v>
      </c>
      <c r="F5" s="48">
        <v>0</v>
      </c>
      <c r="G5" s="48">
        <v>26900000</v>
      </c>
      <c r="H5" s="48">
        <v>0</v>
      </c>
      <c r="I5" s="48">
        <v>0</v>
      </c>
      <c r="J5" s="48">
        <v>0</v>
      </c>
      <c r="K5" s="48">
        <v>0</v>
      </c>
      <c r="L5" s="48">
        <v>0</v>
      </c>
      <c r="M5" s="49">
        <v>115001.69999999991</v>
      </c>
      <c r="N5" s="50">
        <f>Table2245[[#This Row],[EB Units
(KVAH)]]+Table2245[[#This Row],[OA Considered
IEX (Kwh)]]+Table2245[[#This Row],[OA (NVNR SOLAR)  Unit-LTPPA
(KWh)]]+Table2245[[#This Row],[Solar-Rooftop
(KWh)]]+Table2245[[#This Row],[DG Units
(Kwh)]]</f>
        <v>3443521.6999999997</v>
      </c>
      <c r="O5" s="49">
        <f>Table2245[[#This Row],[EB Value Total (Rs.)]]+Table2245[[#This Row],[IEX-Value
(Rs.)]]+Table2245[[#This Row],[LTPPA                  ( NVNR solar ) -Value
(Rs.)]]</f>
        <v>26900000</v>
      </c>
      <c r="P5" s="51">
        <f>IFERROR(Table2245[[#This Row],[Total Value]]/(Table2245[[#This Row],[EB Units
(KVAH)]]+Table2245[[#This Row],[OA Considered
IEX (Kwh)]]+Table2245[[#This Row],[OA (NVNR SOLAR)  Unit-LTPPA
(KWh)]]),"")</f>
        <v>8.0816699313809135</v>
      </c>
      <c r="Q5" s="48"/>
    </row>
    <row r="6" spans="1:17" hidden="1" x14ac:dyDescent="0.35">
      <c r="A6" s="46">
        <v>45474</v>
      </c>
      <c r="B6" s="47" t="s">
        <v>49</v>
      </c>
      <c r="C6" s="48">
        <v>6500</v>
      </c>
      <c r="D6" s="48">
        <v>6696</v>
      </c>
      <c r="E6" s="48">
        <v>3983229.9999999814</v>
      </c>
      <c r="F6" s="48">
        <v>0</v>
      </c>
      <c r="G6" s="48">
        <v>31700000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9">
        <v>22740.000000000142</v>
      </c>
      <c r="N6" s="50">
        <f>Table2245[[#This Row],[EB Units
(KVAH)]]+Table2245[[#This Row],[OA Considered
IEX (Kwh)]]+Table2245[[#This Row],[OA (NVNR SOLAR)  Unit-LTPPA
(KWh)]]+Table2245[[#This Row],[Solar-Rooftop
(KWh)]]+Table2245[[#This Row],[DG Units
(Kwh)]]</f>
        <v>4005969.9999999814</v>
      </c>
      <c r="O6" s="49">
        <f>Table2245[[#This Row],[EB Value Total (Rs.)]]+Table2245[[#This Row],[IEX-Value
(Rs.)]]+Table2245[[#This Row],[LTPPA                  ( NVNR solar ) -Value
(Rs.)]]</f>
        <v>31700000</v>
      </c>
      <c r="P6" s="51">
        <f>IFERROR(Table2245[[#This Row],[Total Value]]/(Table2245[[#This Row],[EB Units
(KVAH)]]+Table2245[[#This Row],[OA Considered
IEX (Kwh)]]+Table2245[[#This Row],[OA (NVNR SOLAR)  Unit-LTPPA
(KWh)]]),"")</f>
        <v>7.9583654471371599</v>
      </c>
      <c r="Q6" s="48"/>
    </row>
    <row r="7" spans="1:17" hidden="1" x14ac:dyDescent="0.35">
      <c r="A7" s="46">
        <v>45505</v>
      </c>
      <c r="B7" s="47" t="s">
        <v>49</v>
      </c>
      <c r="C7" s="48">
        <v>6500</v>
      </c>
      <c r="D7" s="48">
        <v>6529</v>
      </c>
      <c r="E7" s="48">
        <v>3901970</v>
      </c>
      <c r="F7" s="48">
        <v>0</v>
      </c>
      <c r="G7" s="48">
        <v>30800000</v>
      </c>
      <c r="H7" s="48">
        <v>0</v>
      </c>
      <c r="I7" s="48">
        <v>0</v>
      </c>
      <c r="J7" s="48">
        <v>0</v>
      </c>
      <c r="K7" s="48">
        <v>0</v>
      </c>
      <c r="L7" s="48">
        <v>0</v>
      </c>
      <c r="M7" s="49">
        <v>0</v>
      </c>
      <c r="N7" s="50">
        <f>Table2245[[#This Row],[EB Units
(KVAH)]]+Table2245[[#This Row],[OA Considered
IEX (Kwh)]]+Table2245[[#This Row],[OA (NVNR SOLAR)  Unit-LTPPA
(KWh)]]+Table2245[[#This Row],[Solar-Rooftop
(KWh)]]+Table2245[[#This Row],[DG Units
(Kwh)]]</f>
        <v>3901970</v>
      </c>
      <c r="O7" s="49">
        <f>Table2245[[#This Row],[EB Value Total (Rs.)]]+Table2245[[#This Row],[IEX-Value
(Rs.)]]+Table2245[[#This Row],[LTPPA                  ( NVNR solar ) -Value
(Rs.)]]</f>
        <v>30800000</v>
      </c>
      <c r="P7" s="51">
        <f>IFERROR(Table2245[[#This Row],[Total Value]]/(Table2245[[#This Row],[EB Units
(KVAH)]]+Table2245[[#This Row],[OA Considered
IEX (Kwh)]]+Table2245[[#This Row],[OA (NVNR SOLAR)  Unit-LTPPA
(KWh)]]),"")</f>
        <v>7.8934486938648938</v>
      </c>
      <c r="Q7" s="48"/>
    </row>
    <row r="8" spans="1:17" hidden="1" x14ac:dyDescent="0.35">
      <c r="A8" s="46">
        <v>45536</v>
      </c>
      <c r="B8" s="47" t="s">
        <v>49</v>
      </c>
      <c r="C8" s="48">
        <v>6500</v>
      </c>
      <c r="D8" s="48">
        <v>6858</v>
      </c>
      <c r="E8" s="48">
        <v>3935740</v>
      </c>
      <c r="F8" s="48">
        <v>0</v>
      </c>
      <c r="G8" s="48">
        <v>31813865</v>
      </c>
      <c r="H8" s="48">
        <v>0</v>
      </c>
      <c r="I8" s="48">
        <v>0</v>
      </c>
      <c r="J8" s="48">
        <v>0</v>
      </c>
      <c r="K8" s="48">
        <v>0</v>
      </c>
      <c r="L8" s="48">
        <v>0</v>
      </c>
      <c r="M8" s="49">
        <v>4640.7999999999574</v>
      </c>
      <c r="N8" s="50">
        <f>Table2245[[#This Row],[EB Units
(KVAH)]]+Table2245[[#This Row],[OA Considered
IEX (Kwh)]]+Table2245[[#This Row],[OA (NVNR SOLAR)  Unit-LTPPA
(KWh)]]+Table2245[[#This Row],[Solar-Rooftop
(KWh)]]+Table2245[[#This Row],[DG Units
(Kwh)]]</f>
        <v>3940380.8</v>
      </c>
      <c r="O8" s="49">
        <f>Table2245[[#This Row],[EB Value Total (Rs.)]]+Table2245[[#This Row],[IEX-Value
(Rs.)]]+Table2245[[#This Row],[LTPPA                  ( NVNR solar ) -Value
(Rs.)]]</f>
        <v>31813865</v>
      </c>
      <c r="P8" s="51">
        <f>IFERROR(Table2245[[#This Row],[Total Value]]/(Table2245[[#This Row],[EB Units
(KVAH)]]+Table2245[[#This Row],[OA Considered
IEX (Kwh)]]+Table2245[[#This Row],[OA (NVNR SOLAR)  Unit-LTPPA
(KWh)]]),"")</f>
        <v>8.0833248639391826</v>
      </c>
      <c r="Q8" s="48"/>
    </row>
    <row r="9" spans="1:17" hidden="1" x14ac:dyDescent="0.35">
      <c r="A9" s="46">
        <v>45566</v>
      </c>
      <c r="B9" s="47" t="s">
        <v>49</v>
      </c>
      <c r="C9" s="48">
        <v>6500</v>
      </c>
      <c r="D9" s="48">
        <v>6925</v>
      </c>
      <c r="E9" s="48">
        <v>3992579.999999987</v>
      </c>
      <c r="F9" s="48">
        <v>0</v>
      </c>
      <c r="G9" s="48">
        <v>29900000.000000004</v>
      </c>
      <c r="H9" s="48">
        <v>0</v>
      </c>
      <c r="I9" s="48">
        <v>0</v>
      </c>
      <c r="J9" s="48">
        <v>0</v>
      </c>
      <c r="K9" s="48">
        <v>0</v>
      </c>
      <c r="L9" s="48">
        <v>0</v>
      </c>
      <c r="M9" s="49">
        <v>66116.000000000044</v>
      </c>
      <c r="N9" s="50">
        <f>Table2245[[#This Row],[EB Units
(KVAH)]]+Table2245[[#This Row],[OA Considered
IEX (Kwh)]]+Table2245[[#This Row],[OA (NVNR SOLAR)  Unit-LTPPA
(KWh)]]+Table2245[[#This Row],[Solar-Rooftop
(KWh)]]+Table2245[[#This Row],[DG Units
(Kwh)]]</f>
        <v>4058695.999999987</v>
      </c>
      <c r="O9" s="49">
        <f>Table2245[[#This Row],[EB Value Total (Rs.)]]+Table2245[[#This Row],[IEX-Value
(Rs.)]]+Table2245[[#This Row],[LTPPA                  ( NVNR solar ) -Value
(Rs.)]]</f>
        <v>29900000.000000004</v>
      </c>
      <c r="P9" s="51">
        <f>IFERROR(Table2245[[#This Row],[Total Value]]/(Table2245[[#This Row],[EB Units
(KVAH)]]+Table2245[[#This Row],[OA Considered
IEX (Kwh)]]+Table2245[[#This Row],[OA (NVNR SOLAR)  Unit-LTPPA
(KWh)]]),"")</f>
        <v>7.4888918944642562</v>
      </c>
      <c r="Q9" s="48"/>
    </row>
    <row r="10" spans="1:17" hidden="1" x14ac:dyDescent="0.35">
      <c r="A10" s="46">
        <v>45597</v>
      </c>
      <c r="B10" s="47" t="s">
        <v>49</v>
      </c>
      <c r="C10" s="48">
        <v>6500</v>
      </c>
      <c r="D10" s="48">
        <v>6871</v>
      </c>
      <c r="E10" s="48">
        <v>3481860</v>
      </c>
      <c r="F10" s="48">
        <v>0</v>
      </c>
      <c r="G10" s="48">
        <v>29400000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9">
        <v>28871.999999999978</v>
      </c>
      <c r="N10" s="50">
        <f>Table2245[[#This Row],[EB Units
(KVAH)]]+Table2245[[#This Row],[OA Considered
IEX (Kwh)]]+Table2245[[#This Row],[OA (NVNR SOLAR)  Unit-LTPPA
(KWh)]]+Table2245[[#This Row],[Solar-Rooftop
(KWh)]]+Table2245[[#This Row],[DG Units
(Kwh)]]</f>
        <v>3510732</v>
      </c>
      <c r="O10" s="49">
        <f>Table2245[[#This Row],[EB Value Total (Rs.)]]+Table2245[[#This Row],[IEX-Value
(Rs.)]]+Table2245[[#This Row],[LTPPA                  ( NVNR solar ) -Value
(Rs.)]]</f>
        <v>29400000</v>
      </c>
      <c r="P10" s="51">
        <f>IFERROR(Table2245[[#This Row],[Total Value]]/(Table2245[[#This Row],[EB Units
(KVAH)]]+Table2245[[#This Row],[OA Considered
IEX (Kwh)]]+Table2245[[#This Row],[OA (NVNR SOLAR)  Unit-LTPPA
(KWh)]]),"")</f>
        <v>8.4437628164257035</v>
      </c>
      <c r="Q10" s="48"/>
    </row>
    <row r="11" spans="1:17" hidden="1" x14ac:dyDescent="0.35">
      <c r="A11" s="46">
        <v>45627</v>
      </c>
      <c r="B11" s="47" t="s">
        <v>49</v>
      </c>
      <c r="C11" s="48">
        <v>6500</v>
      </c>
      <c r="D11" s="48">
        <v>6052</v>
      </c>
      <c r="E11" s="48">
        <v>3489059.9999999977</v>
      </c>
      <c r="F11" s="48">
        <v>0</v>
      </c>
      <c r="G11" s="48">
        <v>27400000.000000004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49">
        <v>0</v>
      </c>
      <c r="N11" s="50">
        <f>Table2245[[#This Row],[EB Units
(KVAH)]]+Table2245[[#This Row],[OA Considered
IEX (Kwh)]]+Table2245[[#This Row],[OA (NVNR SOLAR)  Unit-LTPPA
(KWh)]]+Table2245[[#This Row],[Solar-Rooftop
(KWh)]]+Table2245[[#This Row],[DG Units
(Kwh)]]</f>
        <v>3489059.9999999977</v>
      </c>
      <c r="O11" s="49">
        <f>Table2245[[#This Row],[EB Value Total (Rs.)]]+Table2245[[#This Row],[IEX-Value
(Rs.)]]+Table2245[[#This Row],[LTPPA                  ( NVNR solar ) -Value
(Rs.)]]</f>
        <v>27400000.000000004</v>
      </c>
      <c r="P11" s="51">
        <f>IFERROR(Table2245[[#This Row],[Total Value]]/(Table2245[[#This Row],[EB Units
(KVAH)]]+Table2245[[#This Row],[OA Considered
IEX (Kwh)]]+Table2245[[#This Row],[OA (NVNR SOLAR)  Unit-LTPPA
(KWh)]]),"")</f>
        <v>7.853118031790804</v>
      </c>
      <c r="Q11" s="48"/>
    </row>
    <row r="12" spans="1:17" hidden="1" x14ac:dyDescent="0.35">
      <c r="A12" s="46">
        <v>45658</v>
      </c>
      <c r="B12" s="47" t="s">
        <v>49</v>
      </c>
      <c r="C12" s="48">
        <v>6500</v>
      </c>
      <c r="D12" s="48">
        <v>5850</v>
      </c>
      <c r="E12" s="48">
        <v>2622993</v>
      </c>
      <c r="F12" s="48">
        <v>391768</v>
      </c>
      <c r="G12" s="48">
        <v>22022320</v>
      </c>
      <c r="H12" s="48">
        <v>75548</v>
      </c>
      <c r="I12" s="49">
        <v>342397</v>
      </c>
      <c r="J12" s="48">
        <v>569339</v>
      </c>
      <c r="K12" s="48">
        <v>2977347</v>
      </c>
      <c r="L12" s="48">
        <v>0</v>
      </c>
      <c r="M12" s="49">
        <v>13780.000000000091</v>
      </c>
      <c r="N12" s="50">
        <f>Table2245[[#This Row],[EB Units
(KVAH)]]+Table2245[[#This Row],[OA Considered
IEX (Kwh)]]+Table2245[[#This Row],[OA (NVNR SOLAR)  Unit-LTPPA
(KWh)]]+Table2245[[#This Row],[Solar-Rooftop
(KWh)]]+Table2245[[#This Row],[DG Units
(Kwh)]]</f>
        <v>3281660</v>
      </c>
      <c r="O12" s="49">
        <f>Table2245[[#This Row],[EB Value Total (Rs.)]]+Table2245[[#This Row],[IEX-Value
(Rs.)]]+Table2245[[#This Row],[LTPPA                  ( NVNR solar ) -Value
(Rs.)]]</f>
        <v>25342064</v>
      </c>
      <c r="P12" s="51">
        <f>IFERROR(Table2245[[#This Row],[Total Value]]/(Table2245[[#This Row],[EB Units
(KVAH)]]+Table2245[[#This Row],[OA Considered
IEX (Kwh)]]+Table2245[[#This Row],[OA (NVNR SOLAR)  Unit-LTPPA
(KWh)]]),"")</f>
        <v>7.7548943045644272</v>
      </c>
      <c r="Q12" s="48"/>
    </row>
    <row r="13" spans="1:17" hidden="1" x14ac:dyDescent="0.35">
      <c r="A13" s="46">
        <v>45689</v>
      </c>
      <c r="B13" s="47" t="s">
        <v>49</v>
      </c>
      <c r="C13" s="48">
        <v>6500</v>
      </c>
      <c r="D13" s="48">
        <v>5445</v>
      </c>
      <c r="E13" s="48">
        <v>2039238</v>
      </c>
      <c r="F13" s="48">
        <v>230449</v>
      </c>
      <c r="G13" s="48">
        <v>17143279</v>
      </c>
      <c r="H13" s="48">
        <v>17315</v>
      </c>
      <c r="I13" s="49">
        <v>86195.01</v>
      </c>
      <c r="J13" s="48">
        <v>577687</v>
      </c>
      <c r="K13" s="48">
        <v>3023679</v>
      </c>
      <c r="L13" s="48">
        <v>0</v>
      </c>
      <c r="M13" s="49">
        <v>10592</v>
      </c>
      <c r="N13" s="50">
        <f>Table2245[[#This Row],[EB Units
(KVAH)]]+Table2245[[#This Row],[OA Considered
IEX (Kwh)]]+Table2245[[#This Row],[OA (NVNR SOLAR)  Unit-LTPPA
(KWh)]]+Table2245[[#This Row],[Solar-Rooftop
(KWh)]]+Table2245[[#This Row],[DG Units
(Kwh)]]</f>
        <v>2644832</v>
      </c>
      <c r="O13" s="49">
        <f>Table2245[[#This Row],[EB Value Total (Rs.)]]+Table2245[[#This Row],[IEX-Value
(Rs.)]]+Table2245[[#This Row],[LTPPA                  ( NVNR solar ) -Value
(Rs.)]]</f>
        <v>20253153.010000002</v>
      </c>
      <c r="P13" s="51">
        <f>IFERROR(Table2245[[#This Row],[Total Value]]/(Table2245[[#This Row],[EB Units
(KVAH)]]+Table2245[[#This Row],[OA Considered
IEX (Kwh)]]+Table2245[[#This Row],[OA (NVNR SOLAR)  Unit-LTPPA
(KWh)]]),"")</f>
        <v>7.6884236098457244</v>
      </c>
      <c r="Q13" s="48"/>
    </row>
    <row r="14" spans="1:17" s="58" customFormat="1" hidden="1" x14ac:dyDescent="0.35">
      <c r="A14" s="52">
        <v>45717</v>
      </c>
      <c r="B14" s="53" t="s">
        <v>49</v>
      </c>
      <c r="C14" s="54">
        <v>6500</v>
      </c>
      <c r="D14" s="54">
        <v>5445</v>
      </c>
      <c r="E14" s="54">
        <v>2021080</v>
      </c>
      <c r="F14" s="54">
        <v>294300</v>
      </c>
      <c r="G14" s="54">
        <v>16940821</v>
      </c>
      <c r="H14" s="54">
        <v>40338</v>
      </c>
      <c r="I14" s="55">
        <v>198226.29</v>
      </c>
      <c r="J14" s="54">
        <v>638472</v>
      </c>
      <c r="K14" s="54">
        <v>3361041</v>
      </c>
      <c r="L14" s="54">
        <v>0</v>
      </c>
      <c r="M14" s="55">
        <v>0</v>
      </c>
      <c r="N14" s="56">
        <f>Table2245[[#This Row],[EB Units
(KVAH)]]+Table2245[[#This Row],[OA Considered
IEX (Kwh)]]+Table2245[[#This Row],[OA (NVNR SOLAR)  Unit-LTPPA
(KWh)]]+Table2245[[#This Row],[Solar-Rooftop
(KWh)]]+Table2245[[#This Row],[DG Units
(Kwh)]]</f>
        <v>2699890</v>
      </c>
      <c r="O14" s="55">
        <f>Table2245[[#This Row],[EB Value Total (Rs.)]]+Table2245[[#This Row],[IEX-Value
(Rs.)]]+Table2245[[#This Row],[LTPPA                  ( NVNR solar ) -Value
(Rs.)]]</f>
        <v>20500088.289999999</v>
      </c>
      <c r="P14" s="57">
        <f>IFERROR(Table2245[[#This Row],[Total Value]]/(Table2245[[#This Row],[EB Units
(KVAH)]]+Table2245[[#This Row],[OA Considered
IEX (Kwh)]]+Table2245[[#This Row],[OA (NVNR SOLAR)  Unit-LTPPA
(KWh)]]),"")</f>
        <v>7.592934634373993</v>
      </c>
      <c r="Q14" s="54"/>
    </row>
    <row r="15" spans="1:17" x14ac:dyDescent="0.35">
      <c r="A15" s="46">
        <v>45748</v>
      </c>
      <c r="B15" s="47" t="s">
        <v>49</v>
      </c>
      <c r="C15" s="48">
        <v>6500</v>
      </c>
      <c r="D15" s="48">
        <v>5022</v>
      </c>
      <c r="E15" s="48">
        <v>2002942</v>
      </c>
      <c r="F15" s="48">
        <v>376107</v>
      </c>
      <c r="G15" s="48">
        <v>14032542</v>
      </c>
      <c r="H15" s="48">
        <v>66990</v>
      </c>
      <c r="I15" s="49">
        <v>309093.42999999993</v>
      </c>
      <c r="J15" s="48">
        <v>577028</v>
      </c>
      <c r="K15" s="48">
        <v>3012148</v>
      </c>
      <c r="L15" s="48">
        <v>0</v>
      </c>
      <c r="M15" s="49">
        <v>0</v>
      </c>
      <c r="N15" s="50">
        <f>Table2245[[#This Row],[EB Units
(KVAH)]]+Table2245[[#This Row],[OA Considered
IEX (Kwh)]]+Table2245[[#This Row],[OA (NVNR SOLAR)  Unit-LTPPA
(KWh)]]+Table2245[[#This Row],[Solar-Rooftop
(KWh)]]+Table2245[[#This Row],[DG Units
(Kwh)]]</f>
        <v>2646960</v>
      </c>
      <c r="O15" s="49">
        <f>Table2245[[#This Row],[EB Value Total (Rs.)]]+Table2245[[#This Row],[IEX-Value
(Rs.)]]+Table2245[[#This Row],[LTPPA                  ( NVNR solar ) -Value
(Rs.)]]</f>
        <v>17353783.43</v>
      </c>
      <c r="P15" s="51">
        <f>IFERROR(Table2245[[#This Row],[Total Value]]/(Table2245[[#This Row],[EB Units
(KVAH)]]+Table2245[[#This Row],[OA Considered
IEX (Kwh)]]+Table2245[[#This Row],[OA (NVNR SOLAR)  Unit-LTPPA
(KWh)]]),"")</f>
        <v>6.5561185019796291</v>
      </c>
      <c r="Q15" s="48" t="s">
        <v>51</v>
      </c>
    </row>
    <row r="16" spans="1:17" x14ac:dyDescent="0.35">
      <c r="A16" s="59">
        <v>45778</v>
      </c>
      <c r="B16" s="60" t="s">
        <v>49</v>
      </c>
      <c r="C16" s="54">
        <v>6500</v>
      </c>
      <c r="D16" s="54">
        <v>5200</v>
      </c>
      <c r="E16" s="54">
        <v>2231246</v>
      </c>
      <c r="F16" s="48">
        <v>591620</v>
      </c>
      <c r="G16" s="48">
        <v>14540466</v>
      </c>
      <c r="H16" s="48">
        <v>128495</v>
      </c>
      <c r="I16" s="49">
        <v>532325.39</v>
      </c>
      <c r="J16" s="48">
        <v>497389</v>
      </c>
      <c r="K16" s="48">
        <v>2555658</v>
      </c>
      <c r="L16" s="54">
        <v>0</v>
      </c>
      <c r="M16" s="54">
        <v>70354</v>
      </c>
      <c r="N16" s="61">
        <f>Table2245[[#This Row],[EB Units
(KVAH)]]+Table2245[[#This Row],[OA Considered
IEX (Kwh)]]+Table2245[[#This Row],[OA (NVNR SOLAR)  Unit-LTPPA
(KWh)]]+Table2245[[#This Row],[Solar-Rooftop
(KWh)]]+Table2245[[#This Row],[DG Units
(Kwh)]]</f>
        <v>2927484</v>
      </c>
      <c r="O16" s="55">
        <f>Table2245[[#This Row],[EB Value Total (Rs.)]]+Table2245[[#This Row],[IEX-Value
(Rs.)]]+Table2245[[#This Row],[LTPPA                  ( NVNR solar ) -Value
(Rs.)]]</f>
        <v>17628449.390000001</v>
      </c>
      <c r="P16" s="57">
        <f>IFERROR(Table2245[[#This Row],[Total Value]]/(Table2245[[#This Row],[EB Units
(KVAH)]]+Table2245[[#This Row],[OA Considered
IEX (Kwh)]]+Table2245[[#This Row],[OA (NVNR SOLAR)  Unit-LTPPA
(KWh)]]),"")</f>
        <v>6.1699850514327315</v>
      </c>
      <c r="Q16" s="62"/>
    </row>
    <row r="17" spans="1:17" x14ac:dyDescent="0.35">
      <c r="A17" s="63">
        <v>45809</v>
      </c>
      <c r="B17" s="64" t="s">
        <v>49</v>
      </c>
      <c r="C17" s="48">
        <v>6500</v>
      </c>
      <c r="D17" s="64">
        <v>5265</v>
      </c>
      <c r="E17" s="64">
        <v>2179748</v>
      </c>
      <c r="F17" s="48">
        <v>502296</v>
      </c>
      <c r="G17" s="48">
        <v>18157469</v>
      </c>
      <c r="H17" s="48">
        <v>172613</v>
      </c>
      <c r="I17" s="66">
        <v>756671.38</v>
      </c>
      <c r="J17" s="48">
        <v>468329</v>
      </c>
      <c r="K17" s="48">
        <v>2394375</v>
      </c>
      <c r="L17" s="64">
        <v>0</v>
      </c>
      <c r="M17" s="64">
        <v>15161</v>
      </c>
      <c r="N17" s="61">
        <f>Table2245[[#This Row],[EB Units
(KVAH)]]+Table2245[[#This Row],[OA Considered
IEX (Kwh)]]+Table2245[[#This Row],[OA (NVNR SOLAR)  Unit-LTPPA
(KWh)]]+Table2245[[#This Row],[Solar-Rooftop
(KWh)]]+Table2245[[#This Row],[DG Units
(Kwh)]]</f>
        <v>2835851</v>
      </c>
      <c r="O17" s="55">
        <f>Table2245[[#This Row],[EB Value Total (Rs.)]]+Table2245[[#This Row],[IEX-Value
(Rs.)]]+Table2245[[#This Row],[LTPPA                  ( NVNR solar ) -Value
(Rs.)]]</f>
        <v>21308515.379999999</v>
      </c>
      <c r="P17" s="51">
        <f>IFERROR(Table2245[[#This Row],[Total Value]]/(Table2245[[#This Row],[EB Units
(KVAH)]]+Table2245[[#This Row],[OA Considered
IEX (Kwh)]]+Table2245[[#This Row],[OA (NVNR SOLAR)  Unit-LTPPA
(KWh)]]),"")</f>
        <v>7.554362719760058</v>
      </c>
      <c r="Q17" s="60"/>
    </row>
    <row r="18" spans="1:17" x14ac:dyDescent="0.35">
      <c r="A18" s="63">
        <v>45839</v>
      </c>
      <c r="B18" s="64" t="s">
        <v>49</v>
      </c>
      <c r="C18" s="48">
        <v>6500</v>
      </c>
      <c r="D18" s="64">
        <v>5467</v>
      </c>
      <c r="E18" s="64">
        <v>2439029</v>
      </c>
      <c r="F18" s="48">
        <v>494443</v>
      </c>
      <c r="G18" s="48">
        <v>20102019</v>
      </c>
      <c r="H18" s="48">
        <v>179770</v>
      </c>
      <c r="I18" s="49">
        <v>885373</v>
      </c>
      <c r="J18" s="48">
        <v>422471</v>
      </c>
      <c r="K18" s="48">
        <v>2139864</v>
      </c>
      <c r="L18" s="64">
        <v>0</v>
      </c>
      <c r="M18" s="64">
        <v>0</v>
      </c>
      <c r="N18" s="61">
        <f>Table2245[[#This Row],[EB Units
(KVAH)]]+Table2245[[#This Row],[OA Considered
IEX (Kwh)]]+Table2245[[#This Row],[OA (NVNR SOLAR)  Unit-LTPPA
(KWh)]]+Table2245[[#This Row],[Solar-Rooftop
(KWh)]]+Table2245[[#This Row],[DG Units
(Kwh)]]</f>
        <v>3041270</v>
      </c>
      <c r="O18" s="54">
        <f>Table2245[[#This Row],[EB Value Total (Rs.)]]+Table2245[[#This Row],[IEX-Value
(Rs.)]]+Table2245[[#This Row],[LTPPA                  ( NVNR solar ) -Value
(Rs.)]]</f>
        <v>23127256</v>
      </c>
      <c r="P18" s="51">
        <f>IFERROR(Table2245[[#This Row],[Total Value]]/(Table2245[[#This Row],[EB Units
(KVAH)]]+Table2245[[#This Row],[OA Considered
IEX (Kwh)]]+Table2245[[#This Row],[OA (NVNR SOLAR)  Unit-LTPPA
(KWh)]]),"")</f>
        <v>7.604473131290546</v>
      </c>
      <c r="Q18" s="60"/>
    </row>
    <row r="19" spans="1:17" x14ac:dyDescent="0.35">
      <c r="A19" s="63">
        <v>45870</v>
      </c>
      <c r="B19" s="64" t="s">
        <v>49</v>
      </c>
      <c r="C19" s="48">
        <v>6500</v>
      </c>
      <c r="D19" s="64">
        <v>6124</v>
      </c>
      <c r="E19" s="64">
        <v>2771506</v>
      </c>
      <c r="F19" s="48">
        <v>392195</v>
      </c>
      <c r="G19" s="48">
        <v>22644300</v>
      </c>
      <c r="H19" s="48">
        <v>120680</v>
      </c>
      <c r="I19" s="66">
        <v>565219</v>
      </c>
      <c r="J19" s="48">
        <v>443304</v>
      </c>
      <c r="K19" s="48">
        <v>2255487</v>
      </c>
      <c r="L19" s="64">
        <v>0</v>
      </c>
      <c r="M19" s="64">
        <v>4659</v>
      </c>
      <c r="N19" s="61">
        <f>Table2245[[#This Row],[EB Units
(KVAH)]]+Table2245[[#This Row],[OA Considered
IEX (Kwh)]]+Table2245[[#This Row],[OA (NVNR SOLAR)  Unit-LTPPA
(KWh)]]+Table2245[[#This Row],[Solar-Rooftop
(KWh)]]+Table2245[[#This Row],[DG Units
(Kwh)]]</f>
        <v>3340149</v>
      </c>
      <c r="O19" s="55">
        <f>Table2245[[#This Row],[EB Value Total (Rs.)]]+Table2245[[#This Row],[IEX-Value
(Rs.)]]+Table2245[[#This Row],[LTPPA                  ( NVNR solar ) -Value
(Rs.)]]</f>
        <v>25465006</v>
      </c>
      <c r="P19" s="51">
        <f>IFERROR(Table2245[[#This Row],[Total Value]]/(Table2245[[#This Row],[EB Units
(KVAH)]]+Table2245[[#This Row],[OA Considered
IEX (Kwh)]]+Table2245[[#This Row],[OA (NVNR SOLAR)  Unit-LTPPA
(KWh)]]),"")</f>
        <v>7.6345622382318643</v>
      </c>
      <c r="Q19" s="60"/>
    </row>
    <row r="20" spans="1:17" x14ac:dyDescent="0.35">
      <c r="A20" s="63">
        <v>45901</v>
      </c>
      <c r="B20" s="64" t="s">
        <v>49</v>
      </c>
      <c r="C20" s="48">
        <v>6500</v>
      </c>
      <c r="D20" s="64">
        <v>5737</v>
      </c>
      <c r="E20" s="64">
        <v>2227788</v>
      </c>
      <c r="F20" s="48">
        <v>448263</v>
      </c>
      <c r="G20" s="64">
        <v>18479437</v>
      </c>
      <c r="H20" s="64">
        <v>155189.99999999997</v>
      </c>
      <c r="I20" s="65">
        <v>702217.74</v>
      </c>
      <c r="J20" s="60">
        <v>431382</v>
      </c>
      <c r="K20" s="60">
        <v>2189320</v>
      </c>
      <c r="L20" s="60">
        <v>0</v>
      </c>
      <c r="M20" s="60">
        <v>4483</v>
      </c>
      <c r="N20" s="61">
        <f>Table2245[[#This Row],[EB Units
(KVAH)]]+Table2245[[#This Row],[OA Considered
IEX (Kwh)]]+Table2245[[#This Row],[OA (NVNR SOLAR)  Unit-LTPPA
(KWh)]]+Table2245[[#This Row],[Solar-Rooftop
(KWh)]]+Table2245[[#This Row],[DG Units
(Kwh)]]</f>
        <v>2818843</v>
      </c>
      <c r="O20" s="55">
        <f>Table2245[[#This Row],[EB Value Total (Rs.)]]+Table2245[[#This Row],[IEX-Value
(Rs.)]]+Table2245[[#This Row],[LTPPA                  ( NVNR solar ) -Value
(Rs.)]]</f>
        <v>21370974.739999998</v>
      </c>
      <c r="P20" s="57">
        <f>IFERROR(Table2245[[#This Row],[Total Value]]/(Table2245[[#This Row],[EB Units
(KVAH)]]+Table2245[[#This Row],[OA Considered
IEX (Kwh)]]+Table2245[[#This Row],[OA (NVNR SOLAR)  Unit-LTPPA
(KWh)]]),"")</f>
        <v>7.5935469307409136</v>
      </c>
      <c r="Q20" s="60"/>
    </row>
    <row r="21" spans="1:17" x14ac:dyDescent="0.35">
      <c r="A21" s="63">
        <v>45931</v>
      </c>
      <c r="B21" s="64" t="s">
        <v>49</v>
      </c>
      <c r="C21" s="48">
        <v>6500</v>
      </c>
      <c r="D21" s="64">
        <v>5470</v>
      </c>
      <c r="E21" s="64">
        <v>2295155</v>
      </c>
      <c r="F21" s="48">
        <v>696141</v>
      </c>
      <c r="G21" s="64">
        <v>19283722</v>
      </c>
      <c r="H21" s="64">
        <v>307751</v>
      </c>
      <c r="I21" s="66">
        <v>1246702.5599999998</v>
      </c>
      <c r="J21" s="64">
        <v>458214</v>
      </c>
      <c r="K21" s="64">
        <v>2338237</v>
      </c>
      <c r="L21" s="64">
        <v>0</v>
      </c>
      <c r="M21" s="67">
        <v>0</v>
      </c>
      <c r="N21" s="68">
        <f>Table2245[[#This Row],[EB Units
(KVAH)]]+Table2245[[#This Row],[OA Considered
IEX (Kwh)]]+Table2245[[#This Row],[OA (NVNR SOLAR)  Unit-LTPPA
(KWh)]]+Table2245[[#This Row],[Solar-Rooftop
(KWh)]]+Table2245[[#This Row],[DG Units
(Kwh)]]</f>
        <v>3061120</v>
      </c>
      <c r="O21" s="69">
        <f>Table2245[[#This Row],[EB Value Total (Rs.)]]+Table2245[[#This Row],[IEX-Value
(Rs.)]]+Table2245[[#This Row],[LTPPA                  ( NVNR solar ) -Value
(Rs.)]]</f>
        <v>22868661.559999999</v>
      </c>
      <c r="P21" s="51">
        <f>IFERROR(Table2245[[#This Row],[Total Value]]/(Table2245[[#This Row],[EB Units
(KVAH)]]+Table2245[[#This Row],[OA Considered
IEX (Kwh)]]+Table2245[[#This Row],[OA (NVNR SOLAR)  Unit-LTPPA
(KWh)]]),"")</f>
        <v>7.4706844422956298</v>
      </c>
      <c r="Q21" s="60"/>
    </row>
    <row r="22" spans="1:17" s="75" customFormat="1" x14ac:dyDescent="0.35">
      <c r="A22" s="59">
        <v>45962</v>
      </c>
      <c r="B22" s="60" t="s">
        <v>49</v>
      </c>
      <c r="C22" s="54">
        <v>6500</v>
      </c>
      <c r="D22" s="60">
        <v>5634</v>
      </c>
      <c r="E22" s="60">
        <v>2021684</v>
      </c>
      <c r="F22" s="54">
        <v>825041</v>
      </c>
      <c r="G22" s="60">
        <v>17742271</v>
      </c>
      <c r="H22" s="16">
        <v>387091</v>
      </c>
      <c r="I22" s="16">
        <v>1536759</v>
      </c>
      <c r="J22" s="60">
        <v>518335</v>
      </c>
      <c r="K22" s="60">
        <v>2671909</v>
      </c>
      <c r="L22" s="60">
        <v>0</v>
      </c>
      <c r="M22" s="71">
        <v>738</v>
      </c>
      <c r="N22" s="72">
        <f>Table2245[[#This Row],[EB Units
(KVAH)]]+Table2245[[#This Row],[OA Considered
IEX (Kwh)]]+Table2245[[#This Row],[OA (NVNR SOLAR)  Unit-LTPPA
(KWh)]]+Table2245[[#This Row],[Solar-Rooftop
(KWh)]]+Table2245[[#This Row],[DG Units
(Kwh)]]</f>
        <v>2927848</v>
      </c>
      <c r="O22" s="73">
        <f>Table2245[[#This Row],[EB Value Total (Rs.)]]+Table2245[[#This Row],[IEX-Value
(Rs.)]]+Table2245[[#This Row],[LTPPA                  ( NVNR solar ) -Value
(Rs.)]]</f>
        <v>21950939</v>
      </c>
      <c r="P22" s="57">
        <f>IFERROR(Table2245[[#This Row],[Total Value]]/(Table2245[[#This Row],[EB Units
(KVAH)]]+Table2245[[#This Row],[OA Considered
IEX (Kwh)]]+Table2245[[#This Row],[OA (NVNR SOLAR)  Unit-LTPPA
(KWh)]]),"")</f>
        <v>7.4991848615186996</v>
      </c>
      <c r="Q22" s="74"/>
    </row>
    <row r="23" spans="1:17" x14ac:dyDescent="0.35">
      <c r="A23" s="63">
        <v>45992</v>
      </c>
      <c r="B23" s="64" t="s">
        <v>49</v>
      </c>
      <c r="C23" s="48">
        <v>6500</v>
      </c>
      <c r="D23" s="64">
        <v>5334</v>
      </c>
      <c r="E23" s="64">
        <v>1943106</v>
      </c>
      <c r="F23" s="48">
        <v>959970</v>
      </c>
      <c r="G23" s="64">
        <v>18488364</v>
      </c>
      <c r="H23" s="48">
        <v>590860</v>
      </c>
      <c r="I23" s="48">
        <v>2690399</v>
      </c>
      <c r="J23" s="64">
        <v>545294</v>
      </c>
      <c r="K23" s="64">
        <v>2821531</v>
      </c>
      <c r="L23" s="64">
        <v>0</v>
      </c>
      <c r="M23" s="64">
        <v>0</v>
      </c>
      <c r="N23" s="68">
        <f>Table2245[[#This Row],[EB Units
(KVAH)]]+Table2245[[#This Row],[OA Considered
IEX (Kwh)]]+Table2245[[#This Row],[OA (NVNR SOLAR)  Unit-LTPPA
(KWh)]]+Table2245[[#This Row],[Solar-Rooftop
(KWh)]]+Table2245[[#This Row],[DG Units
(Kwh)]]</f>
        <v>3079260</v>
      </c>
      <c r="O23" s="48">
        <f>Table2245[[#This Row],[EB Value Total (Rs.)]]+Table2245[[#This Row],[IEX-Value
(Rs.)]]+Table2245[[#This Row],[LTPPA                  ( NVNR solar ) -Value
(Rs.)]]</f>
        <v>24000294</v>
      </c>
      <c r="P23" s="51">
        <f>IFERROR(Table2245[[#This Row],[Total Value]]/(Table2245[[#This Row],[EB Units
(KVAH)]]+Table2245[[#This Row],[OA Considered
IEX (Kwh)]]+Table2245[[#This Row],[OA (NVNR SOLAR)  Unit-LTPPA
(KWh)]]),"")</f>
        <v>7.794175873424134</v>
      </c>
      <c r="Q23" s="60"/>
    </row>
    <row r="24" spans="1:17" s="7" customFormat="1" x14ac:dyDescent="0.35">
      <c r="A24" s="63">
        <v>46023</v>
      </c>
      <c r="B24" s="64" t="s">
        <v>49</v>
      </c>
      <c r="C24" s="48">
        <v>6500</v>
      </c>
      <c r="D24" s="64">
        <v>5152</v>
      </c>
      <c r="E24" s="64">
        <v>1801458</v>
      </c>
      <c r="F24" s="70">
        <v>1062627</v>
      </c>
      <c r="G24" s="64">
        <v>13513066</v>
      </c>
      <c r="H24" s="48">
        <v>533240</v>
      </c>
      <c r="I24" s="48">
        <v>2405487</v>
      </c>
      <c r="J24" s="64">
        <v>544922</v>
      </c>
      <c r="K24" s="64">
        <v>2819472</v>
      </c>
      <c r="L24" s="64">
        <v>0</v>
      </c>
      <c r="M24" s="67">
        <v>0</v>
      </c>
      <c r="N24" s="68">
        <f>Table2245[[#This Row],[EB Units
(KVAH)]]+Table2245[[#This Row],[OA Considered
IEX (Kwh)]]+Table2245[[#This Row],[OA (NVNR SOLAR)  Unit-LTPPA
(KWh)]]+Table2245[[#This Row],[Solar-Rooftop
(KWh)]]+Table2245[[#This Row],[DG Units
(Kwh)]]</f>
        <v>2879620</v>
      </c>
      <c r="O24" s="76">
        <f>Table2245[[#This Row],[EB Value Total (Rs.)]]+Table2245[[#This Row],[IEX-Value
(Rs.)]]+Table2245[[#This Row],[LTPPA                  ( NVNR solar ) -Value
(Rs.)]]</f>
        <v>18738025</v>
      </c>
      <c r="P24" s="51">
        <f>IFERROR(Table2245[[#This Row],[Total Value]]/(Table2245[[#This Row],[EB Units
(KVAH)]]+Table2245[[#This Row],[OA Considered
IEX (Kwh)]]+Table2245[[#This Row],[OA (NVNR SOLAR)  Unit-LTPPA
(KWh)]]),"")</f>
        <v>6.5071172585271668</v>
      </c>
      <c r="Q24" s="74"/>
    </row>
    <row r="25" spans="1:17" x14ac:dyDescent="0.35">
      <c r="A25" s="63">
        <v>46054</v>
      </c>
      <c r="B25" s="64" t="s">
        <v>49</v>
      </c>
      <c r="C25" s="48">
        <v>6500</v>
      </c>
      <c r="D25" s="64">
        <v>5431</v>
      </c>
      <c r="E25" s="64">
        <v>1441873</v>
      </c>
      <c r="F25" s="64">
        <v>1028703</v>
      </c>
      <c r="G25" s="64">
        <v>10903085</v>
      </c>
      <c r="H25" s="48">
        <v>512450</v>
      </c>
      <c r="I25" s="45">
        <v>2338824</v>
      </c>
      <c r="J25" s="64">
        <v>567478</v>
      </c>
      <c r="K25" s="64">
        <v>2944652</v>
      </c>
      <c r="L25" s="64">
        <v>0</v>
      </c>
      <c r="M25" s="67">
        <v>24971</v>
      </c>
      <c r="N25" s="68">
        <f>Table2245[[#This Row],[EB Units
(KVAH)]]+Table2245[[#This Row],[OA Considered
IEX (Kwh)]]+Table2245[[#This Row],[OA (NVNR SOLAR)  Unit-LTPPA
(KWh)]]+Table2245[[#This Row],[Solar-Rooftop
(KWh)]]+Table2245[[#This Row],[DG Units
(Kwh)]]</f>
        <v>2546772</v>
      </c>
      <c r="O25" s="76">
        <f>Table2245[[#This Row],[EB Value Total (Rs.)]]+Table2245[[#This Row],[IEX-Value
(Rs.)]]+Table2245[[#This Row],[LTPPA                  ( NVNR solar ) -Value
(Rs.)]]</f>
        <v>16186561</v>
      </c>
      <c r="P25" s="51">
        <f>IFERROR(Table2245[[#This Row],[Total Value]]/(Table2245[[#This Row],[EB Units
(KVAH)]]+Table2245[[#This Row],[OA Considered
IEX (Kwh)]]+Table2245[[#This Row],[OA (NVNR SOLAR)  Unit-LTPPA
(KWh)]]),"")</f>
        <v>6.4186511941267375</v>
      </c>
      <c r="Q25" s="74"/>
    </row>
    <row r="26" spans="1:17" s="77" customFormat="1" x14ac:dyDescent="0.35">
      <c r="A26" s="63">
        <v>46082</v>
      </c>
      <c r="B26" s="64" t="s">
        <v>49</v>
      </c>
      <c r="C26" s="48">
        <v>6500</v>
      </c>
      <c r="D26" s="64">
        <v>4708</v>
      </c>
      <c r="E26" s="64">
        <v>2125586</v>
      </c>
      <c r="F26" s="64">
        <v>614365</v>
      </c>
      <c r="G26" s="64">
        <v>19408658</v>
      </c>
      <c r="H26" s="7">
        <v>257417</v>
      </c>
      <c r="I26" s="7">
        <v>1182557</v>
      </c>
      <c r="J26" s="64">
        <v>662297</v>
      </c>
      <c r="K26" s="64">
        <v>3470898</v>
      </c>
      <c r="L26" s="64">
        <v>0</v>
      </c>
      <c r="M26" s="67">
        <v>0</v>
      </c>
      <c r="N26" s="68">
        <f>Table2245[[#This Row],[EB Units
(KVAH)]]+Table2245[[#This Row],[OA Considered
IEX (Kwh)]]+Table2245[[#This Row],[OA (NVNR SOLAR)  Unit-LTPPA
(KWh)]]+Table2245[[#This Row],[Solar-Rooftop
(KWh)]]+Table2245[[#This Row],[DG Units
(Kwh)]]</f>
        <v>3045300</v>
      </c>
      <c r="O26" s="76">
        <f>Table2245[[#This Row],[EB Value Total (Rs.)]]+Table2245[[#This Row],[IEX-Value
(Rs.)]]+Table2245[[#This Row],[LTPPA                  ( NVNR solar ) -Value
(Rs.)]]</f>
        <v>24062113</v>
      </c>
      <c r="P26" s="51">
        <f>IFERROR(Table2245[[#This Row],[Total Value]]/(Table2245[[#This Row],[EB Units
(KVAH)]]+Table2245[[#This Row],[OA Considered
IEX (Kwh)]]+Table2245[[#This Row],[OA (NVNR SOLAR)  Unit-LTPPA
(KWh)]]),"")</f>
        <v>7.9013932945850982</v>
      </c>
      <c r="Q26" s="74"/>
    </row>
    <row r="27" spans="1:17" ht="18.75" customHeight="1" x14ac:dyDescent="0.35">
      <c r="A27" s="63">
        <v>46113</v>
      </c>
      <c r="B27" s="64" t="s">
        <v>49</v>
      </c>
      <c r="C27" s="48">
        <v>6500</v>
      </c>
      <c r="D27" s="64">
        <v>5387</v>
      </c>
      <c r="E27" s="64">
        <v>1849086</v>
      </c>
      <c r="F27" s="64">
        <v>651600</v>
      </c>
      <c r="G27" s="64">
        <v>15016536</v>
      </c>
      <c r="H27" s="64">
        <v>197270</v>
      </c>
      <c r="I27" s="64">
        <v>910165</v>
      </c>
      <c r="J27" s="64">
        <v>613844</v>
      </c>
      <c r="K27" s="64">
        <v>3120955</v>
      </c>
      <c r="L27" s="64">
        <v>0</v>
      </c>
      <c r="M27" s="67">
        <v>13009</v>
      </c>
      <c r="N27" s="68">
        <f>Table2245[[#This Row],[EB Units
(KVAH)]]+Table2245[[#This Row],[OA Considered
IEX (Kwh)]]+Table2245[[#This Row],[OA (NVNR SOLAR)  Unit-LTPPA
(KWh)]]+Table2245[[#This Row],[Solar-Rooftop
(KWh)]]+Table2245[[#This Row],[DG Units
(Kwh)]]</f>
        <v>2673209</v>
      </c>
      <c r="O27" s="76">
        <f>Table2245[[#This Row],[EB Value Total (Rs.)]]+Table2245[[#This Row],[IEX-Value
(Rs.)]]+Table2245[[#This Row],[LTPPA                  ( NVNR solar ) -Value
(Rs.)]]</f>
        <v>19047656</v>
      </c>
      <c r="P27" s="51">
        <f>IFERROR(Table2245[[#This Row],[Total Value]]/(Table2245[[#This Row],[EB Units
(KVAH)]]+Table2245[[#This Row],[OA Considered
IEX (Kwh)]]+Table2245[[#This Row],[OA (NVNR SOLAR)  Unit-LTPPA
(KWh)]]),"")</f>
        <v>7.1602345688294111</v>
      </c>
      <c r="Q27" s="60"/>
    </row>
    <row r="28" spans="1:17" ht="19.5" customHeight="1" x14ac:dyDescent="0.35">
      <c r="A28" s="63">
        <v>46143</v>
      </c>
      <c r="B28" s="64" t="s">
        <v>49</v>
      </c>
      <c r="C28" s="48">
        <v>6500</v>
      </c>
      <c r="D28" s="64">
        <v>5483</v>
      </c>
      <c r="E28" s="64">
        <v>2213282</v>
      </c>
      <c r="F28" s="64">
        <v>696104</v>
      </c>
      <c r="G28" s="64">
        <v>20257115</v>
      </c>
      <c r="H28" s="64">
        <v>219883</v>
      </c>
      <c r="I28" s="64">
        <v>990330</v>
      </c>
      <c r="J28" s="64">
        <v>517135</v>
      </c>
      <c r="K28" s="64">
        <v>2584214</v>
      </c>
      <c r="L28" s="64">
        <v>0</v>
      </c>
      <c r="M28" s="67">
        <v>9709</v>
      </c>
      <c r="N28" s="68">
        <f>Table2245[[#This Row],[EB Units
(KVAH)]]+Table2245[[#This Row],[OA Considered
IEX (Kwh)]]+Table2245[[#This Row],[OA (NVNR SOLAR)  Unit-LTPPA
(KWh)]]+Table2245[[#This Row],[Solar-Rooftop
(KWh)]]+Table2245[[#This Row],[DG Units
(Kwh)]]</f>
        <v>2960009</v>
      </c>
      <c r="O28" s="76">
        <f>Table2245[[#This Row],[EB Value Total (Rs.)]]+Table2245[[#This Row],[IEX-Value
(Rs.)]]+Table2245[[#This Row],[LTPPA                  ( NVNR solar ) -Value
(Rs.)]]</f>
        <v>23831659</v>
      </c>
      <c r="P28" s="51">
        <f>IFERROR(Table2245[[#This Row],[Total Value]]/(Table2245[[#This Row],[EB Units
(KVAH)]]+Table2245[[#This Row],[OA Considered
IEX (Kwh)]]+Table2245[[#This Row],[OA (NVNR SOLAR)  Unit-LTPPA
(KWh)]]),"")</f>
        <v>8.077707012846151</v>
      </c>
      <c r="Q28" s="74"/>
    </row>
    <row r="29" spans="1:17" ht="29" x14ac:dyDescent="0.35">
      <c r="A29" s="63">
        <v>46174</v>
      </c>
      <c r="B29" s="64" t="s">
        <v>49</v>
      </c>
      <c r="C29" s="48">
        <v>6500</v>
      </c>
      <c r="D29" s="64">
        <v>5611</v>
      </c>
      <c r="E29" s="64">
        <v>2734209</v>
      </c>
      <c r="F29" s="64">
        <v>398269</v>
      </c>
      <c r="G29" s="64">
        <v>23762816</v>
      </c>
      <c r="H29" s="64">
        <v>204690</v>
      </c>
      <c r="I29" s="64">
        <v>858641</v>
      </c>
      <c r="J29" s="64">
        <v>0</v>
      </c>
      <c r="K29" s="64">
        <v>0</v>
      </c>
      <c r="L29" s="64">
        <v>0</v>
      </c>
      <c r="M29" s="67">
        <v>46570</v>
      </c>
      <c r="N29" s="68">
        <f>Table2245[[#This Row],[EB Units
(KVAH)]]+Table2245[[#This Row],[OA Considered
IEX (Kwh)]]+Table2245[[#This Row],[OA (NVNR SOLAR)  Unit-LTPPA
(KWh)]]+Table2245[[#This Row],[Solar-Rooftop
(KWh)]]+Table2245[[#This Row],[DG Units
(Kwh)]]</f>
        <v>2985469</v>
      </c>
      <c r="O29" s="76">
        <f>Table2245[[#This Row],[EB Value Total (Rs.)]]+Table2245[[#This Row],[IEX-Value
(Rs.)]]+Table2245[[#This Row],[LTPPA                  ( NVNR solar ) -Value
(Rs.)]]</f>
        <v>24621457</v>
      </c>
      <c r="P29" s="51">
        <f>IFERROR(Table2245[[#This Row],[Total Value]]/(Table2245[[#This Row],[EB Units
(KVAH)]]+Table2245[[#This Row],[OA Considered
IEX (Kwh)]]+Table2245[[#This Row],[OA (NVNR SOLAR)  Unit-LTPPA
(KWh)]]),"")</f>
        <v>8.3777826322034201</v>
      </c>
      <c r="Q29" s="78" t="s">
        <v>52</v>
      </c>
    </row>
    <row r="30" spans="1:17" x14ac:dyDescent="0.35">
      <c r="F30" s="79"/>
    </row>
    <row r="31" spans="1:17" x14ac:dyDescent="0.35">
      <c r="F31" s="79"/>
    </row>
    <row r="32" spans="1:17" x14ac:dyDescent="0.35">
      <c r="I32" s="80"/>
      <c r="L32" s="8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4BFA-70DD-490B-BAA5-ACDC9EF32A9E}">
  <dimension ref="A1:R28"/>
  <sheetViews>
    <sheetView tabSelected="1" topLeftCell="A18" workbookViewId="0">
      <selection activeCell="G30" sqref="G30:G31"/>
    </sheetView>
  </sheetViews>
  <sheetFormatPr defaultRowHeight="14.5" x14ac:dyDescent="0.35"/>
  <cols>
    <col min="1" max="1" width="12.26953125" style="3" customWidth="1"/>
    <col min="2" max="2" width="7.81640625" style="3" customWidth="1"/>
    <col min="3" max="5" width="8.81640625" style="3"/>
    <col min="6" max="6" width="10.7265625" style="3" customWidth="1"/>
    <col min="7" max="7" width="13" style="3" customWidth="1"/>
    <col min="8" max="8" width="7" style="3" customWidth="1"/>
    <col min="9" max="9" width="5.6328125" style="3" customWidth="1"/>
    <col min="10" max="10" width="5.54296875" style="3" customWidth="1"/>
    <col min="11" max="11" width="11.7265625" style="3" customWidth="1"/>
    <col min="12" max="12" width="9.6328125" style="3" customWidth="1"/>
    <col min="13" max="14" width="10.1796875" style="3" customWidth="1"/>
    <col min="15" max="15" width="8.81640625" style="3"/>
    <col min="16" max="16" width="10.81640625" style="3" customWidth="1"/>
    <col min="17" max="17" width="8.36328125" style="3" customWidth="1"/>
    <col min="18" max="18" width="8.81640625" style="3"/>
  </cols>
  <sheetData>
    <row r="1" spans="1:18" ht="72.5" x14ac:dyDescent="0.35">
      <c r="A1" s="1" t="s">
        <v>1</v>
      </c>
      <c r="B1" s="1" t="s">
        <v>2</v>
      </c>
      <c r="C1" s="2" t="s">
        <v>11</v>
      </c>
      <c r="D1" s="2" t="s">
        <v>10</v>
      </c>
      <c r="E1" s="2" t="s">
        <v>16</v>
      </c>
      <c r="F1" s="2" t="s">
        <v>17</v>
      </c>
      <c r="G1" s="2" t="s">
        <v>18</v>
      </c>
      <c r="H1" s="2" t="s">
        <v>9</v>
      </c>
      <c r="I1" s="2" t="s">
        <v>8</v>
      </c>
      <c r="J1" s="2" t="s">
        <v>7</v>
      </c>
      <c r="K1" s="2" t="s">
        <v>19</v>
      </c>
      <c r="L1" s="2" t="s">
        <v>20</v>
      </c>
      <c r="M1" s="2" t="s">
        <v>5</v>
      </c>
      <c r="N1" s="2" t="s">
        <v>6</v>
      </c>
      <c r="O1" s="1" t="s">
        <v>0</v>
      </c>
      <c r="P1" s="1" t="s">
        <v>3</v>
      </c>
      <c r="Q1" s="2" t="s">
        <v>22</v>
      </c>
      <c r="R1" s="2" t="s">
        <v>21</v>
      </c>
    </row>
    <row r="2" spans="1:18" x14ac:dyDescent="0.35">
      <c r="A2" s="4">
        <v>45383</v>
      </c>
      <c r="B2" s="3" t="s">
        <v>53</v>
      </c>
      <c r="C2" s="3">
        <v>7000</v>
      </c>
      <c r="D2" s="3">
        <v>6421.5</v>
      </c>
      <c r="E2" s="3">
        <v>2593106</v>
      </c>
      <c r="F2" s="82">
        <v>306473.68</v>
      </c>
      <c r="G2" s="82">
        <v>21994135.440000001</v>
      </c>
      <c r="H2" s="3">
        <v>0</v>
      </c>
      <c r="I2" s="3">
        <v>0</v>
      </c>
      <c r="J2" s="3">
        <v>0</v>
      </c>
      <c r="K2" s="3">
        <v>1084464</v>
      </c>
      <c r="L2" s="3">
        <v>5712302</v>
      </c>
      <c r="M2" s="3">
        <v>138143</v>
      </c>
      <c r="N2" s="3">
        <v>6807</v>
      </c>
      <c r="O2">
        <f>Table27[[#This Row],[EB Units
(KVAH)]]+Table27[[#This Row],[OA Considered
IEX (Kwh)]]+Table27[[#This Row],[OA Unit-LTPPA
(KWh)]]+Table27[[#This Row],[Solar-Rooftop
(KWh)]]+Table27[[#This Row],[DG Units
(Kwh)]]</f>
        <v>3822520</v>
      </c>
      <c r="P2" s="81">
        <f>Table27[[#This Row],[EB Value Total (Rs.)]]+Table27[[#This Row],[IEX-Value
(Rs.)]]+Table27[[#This Row],[LTPPA-Value
(Rs.)]]</f>
        <v>27706437.440000001</v>
      </c>
      <c r="Q2" s="5">
        <f>IFERROR(Table27[[#This Row],[Total Value]]/(Table27[[#This Row],[EB Units
(KVAH)]]+Table27[[#This Row],[OA Considered
IEX (Kwh)]]+Table27[[#This Row],[OA Unit-LTPPA
(KWh)]]),"")</f>
        <v>7.5338980468080825</v>
      </c>
      <c r="R2" s="3">
        <v>2752088</v>
      </c>
    </row>
    <row r="3" spans="1:18" x14ac:dyDescent="0.35">
      <c r="A3" s="4">
        <v>45413</v>
      </c>
      <c r="B3" s="3" t="s">
        <v>53</v>
      </c>
      <c r="C3" s="3">
        <v>7000</v>
      </c>
      <c r="D3" s="3">
        <v>6934.5</v>
      </c>
      <c r="E3" s="3">
        <v>3008324</v>
      </c>
      <c r="F3" s="82">
        <v>306473.68</v>
      </c>
      <c r="G3" s="82">
        <v>25324207.220000003</v>
      </c>
      <c r="H3" s="3">
        <v>0</v>
      </c>
      <c r="I3" s="3">
        <v>0</v>
      </c>
      <c r="J3" s="3">
        <v>0</v>
      </c>
      <c r="K3" s="3">
        <v>1092506</v>
      </c>
      <c r="L3" s="3">
        <v>5756935</v>
      </c>
      <c r="M3" s="3">
        <v>149697</v>
      </c>
      <c r="N3" s="3">
        <v>13982</v>
      </c>
      <c r="O3">
        <f>Table27[[#This Row],[EB Units
(KVAH)]]+Table27[[#This Row],[OA Considered
IEX (Kwh)]]+Table27[[#This Row],[OA Unit-LTPPA
(KWh)]]+Table27[[#This Row],[Solar-Rooftop
(KWh)]]+Table27[[#This Row],[DG Units
(Kwh)]]</f>
        <v>4264509</v>
      </c>
      <c r="P3" s="81">
        <f>Table27[[#This Row],[EB Value Total (Rs.)]]+Table27[[#This Row],[IEX-Value
(Rs.)]]+Table27[[#This Row],[LTPPA-Value
(Rs.)]]</f>
        <v>31081142.220000003</v>
      </c>
      <c r="Q3" s="5">
        <f>IFERROR(Table27[[#This Row],[Total Value]]/(Table27[[#This Row],[EB Units
(KVAH)]]+Table27[[#This Row],[OA Considered
IEX (Kwh)]]+Table27[[#This Row],[OA Unit-LTPPA
(KWh)]]),"")</f>
        <v>7.5792320627775362</v>
      </c>
    </row>
    <row r="4" spans="1:18" x14ac:dyDescent="0.35">
      <c r="A4" s="4">
        <v>45444</v>
      </c>
      <c r="B4" s="3" t="s">
        <v>53</v>
      </c>
      <c r="C4" s="3">
        <v>7000</v>
      </c>
      <c r="D4" s="3">
        <v>7402.5</v>
      </c>
      <c r="E4" s="3">
        <v>3277663</v>
      </c>
      <c r="F4" s="82">
        <v>317446.2</v>
      </c>
      <c r="G4" s="82">
        <v>27619527.180000003</v>
      </c>
      <c r="H4" s="3">
        <v>0</v>
      </c>
      <c r="I4" s="3">
        <v>0</v>
      </c>
      <c r="J4" s="3">
        <v>0</v>
      </c>
      <c r="K4" s="3">
        <v>870697</v>
      </c>
      <c r="L4" s="3">
        <v>4525895</v>
      </c>
      <c r="M4" s="3">
        <v>122966</v>
      </c>
      <c r="N4" s="3">
        <v>79377</v>
      </c>
      <c r="O4">
        <f>Table27[[#This Row],[EB Units
(KVAH)]]+Table27[[#This Row],[OA Considered
IEX (Kwh)]]+Table27[[#This Row],[OA Unit-LTPPA
(KWh)]]+Table27[[#This Row],[Solar-Rooftop
(KWh)]]+Table27[[#This Row],[DG Units
(Kwh)]]</f>
        <v>4350703</v>
      </c>
      <c r="P4" s="81">
        <f>Table27[[#This Row],[EB Value Total (Rs.)]]+Table27[[#This Row],[IEX-Value
(Rs.)]]+Table27[[#This Row],[LTPPA-Value
(Rs.)]]</f>
        <v>32145422.180000003</v>
      </c>
      <c r="Q4" s="5">
        <f>IFERROR(Table27[[#This Row],[Total Value]]/(Table27[[#This Row],[EB Units
(KVAH)]]+Table27[[#This Row],[OA Considered
IEX (Kwh)]]+Table27[[#This Row],[OA Unit-LTPPA
(KWh)]]),"")</f>
        <v>7.7489470971661101</v>
      </c>
    </row>
    <row r="5" spans="1:18" x14ac:dyDescent="0.35">
      <c r="A5" s="4">
        <v>45474</v>
      </c>
      <c r="B5" s="3" t="s">
        <v>53</v>
      </c>
      <c r="C5" s="3">
        <v>7000</v>
      </c>
      <c r="D5" s="3">
        <v>7465.5</v>
      </c>
      <c r="E5" s="3">
        <v>3665393</v>
      </c>
      <c r="F5" s="82">
        <v>317824.56</v>
      </c>
      <c r="G5" s="82">
        <v>30416959.840000004</v>
      </c>
      <c r="H5" s="3">
        <v>0</v>
      </c>
      <c r="I5" s="3">
        <v>0</v>
      </c>
      <c r="J5" s="3">
        <v>0</v>
      </c>
      <c r="K5" s="3">
        <v>679907</v>
      </c>
      <c r="L5" s="3">
        <v>3467010</v>
      </c>
      <c r="M5" s="3">
        <v>90484</v>
      </c>
      <c r="N5" s="3">
        <v>55861</v>
      </c>
      <c r="O5">
        <f>Table27[[#This Row],[EB Units
(KVAH)]]+Table27[[#This Row],[OA Considered
IEX (Kwh)]]+Table27[[#This Row],[OA Unit-LTPPA
(KWh)]]+Table27[[#This Row],[Solar-Rooftop
(KWh)]]+Table27[[#This Row],[DG Units
(Kwh)]]</f>
        <v>4491645</v>
      </c>
      <c r="P5" s="81">
        <f>Table27[[#This Row],[EB Value Total (Rs.)]]+Table27[[#This Row],[IEX-Value
(Rs.)]]+Table27[[#This Row],[LTPPA-Value
(Rs.)]]</f>
        <v>33883969.840000004</v>
      </c>
      <c r="Q5" s="5">
        <f>IFERROR(Table27[[#This Row],[Total Value]]/(Table27[[#This Row],[EB Units
(KVAH)]]+Table27[[#This Row],[OA Considered
IEX (Kwh)]]+Table27[[#This Row],[OA Unit-LTPPA
(KWh)]]),"")</f>
        <v>7.7978436103376065</v>
      </c>
    </row>
    <row r="6" spans="1:18" x14ac:dyDescent="0.35">
      <c r="A6" s="4">
        <v>45505</v>
      </c>
      <c r="B6" s="3" t="s">
        <v>53</v>
      </c>
      <c r="C6" s="3">
        <v>7000</v>
      </c>
      <c r="D6" s="3">
        <v>7645.5</v>
      </c>
      <c r="E6" s="3">
        <v>3587372</v>
      </c>
      <c r="F6" s="82">
        <v>317824.56</v>
      </c>
      <c r="G6" s="82">
        <v>30021174.18</v>
      </c>
      <c r="H6" s="3">
        <v>0</v>
      </c>
      <c r="I6" s="3">
        <v>0</v>
      </c>
      <c r="J6" s="3">
        <v>0</v>
      </c>
      <c r="K6" s="3">
        <v>865218</v>
      </c>
      <c r="L6" s="3">
        <v>4495486</v>
      </c>
      <c r="M6" s="3">
        <v>83148</v>
      </c>
      <c r="N6" s="3">
        <v>33924</v>
      </c>
      <c r="O6">
        <f>Table27[[#This Row],[EB Units
(KVAH)]]+Table27[[#This Row],[OA Considered
IEX (Kwh)]]+Table27[[#This Row],[OA Unit-LTPPA
(KWh)]]+Table27[[#This Row],[Solar-Rooftop
(KWh)]]+Table27[[#This Row],[DG Units
(Kwh)]]</f>
        <v>4569662</v>
      </c>
      <c r="P6" s="81">
        <f>Table27[[#This Row],[EB Value Total (Rs.)]]+Table27[[#This Row],[IEX-Value
(Rs.)]]+Table27[[#This Row],[LTPPA-Value
(Rs.)]]</f>
        <v>34516660.18</v>
      </c>
      <c r="Q6" s="5">
        <f>IFERROR(Table27[[#This Row],[Total Value]]/(Table27[[#This Row],[EB Units
(KVAH)]]+Table27[[#This Row],[OA Considered
IEX (Kwh)]]+Table27[[#This Row],[OA Unit-LTPPA
(KWh)]]),"")</f>
        <v>7.7520409873803784</v>
      </c>
    </row>
    <row r="7" spans="1:18" x14ac:dyDescent="0.35">
      <c r="A7" s="4">
        <v>45536</v>
      </c>
      <c r="B7" s="3" t="s">
        <v>53</v>
      </c>
      <c r="C7" s="3">
        <v>7000</v>
      </c>
      <c r="D7" s="3">
        <v>7182</v>
      </c>
      <c r="E7" s="3">
        <v>3068280</v>
      </c>
      <c r="F7" s="82">
        <v>317824.56</v>
      </c>
      <c r="G7" s="82">
        <v>25820250.859999999</v>
      </c>
      <c r="H7" s="3">
        <v>0</v>
      </c>
      <c r="I7" s="3">
        <v>0</v>
      </c>
      <c r="J7" s="3">
        <v>0</v>
      </c>
      <c r="K7" s="3">
        <v>876530</v>
      </c>
      <c r="L7" s="3">
        <v>4546917</v>
      </c>
      <c r="M7" s="3">
        <v>66343</v>
      </c>
      <c r="N7" s="3">
        <v>67344</v>
      </c>
      <c r="O7">
        <f>Table27[[#This Row],[EB Units
(KVAH)]]+Table27[[#This Row],[OA Considered
IEX (Kwh)]]+Table27[[#This Row],[OA Unit-LTPPA
(KWh)]]+Table27[[#This Row],[Solar-Rooftop
(KWh)]]+Table27[[#This Row],[DG Units
(Kwh)]]</f>
        <v>4078497</v>
      </c>
      <c r="P7" s="81">
        <f>Table27[[#This Row],[EB Value Total (Rs.)]]+Table27[[#This Row],[IEX-Value
(Rs.)]]+Table27[[#This Row],[LTPPA-Value
(Rs.)]]</f>
        <v>30367167.859999999</v>
      </c>
      <c r="Q7" s="5">
        <f>IFERROR(Table27[[#This Row],[Total Value]]/(Table27[[#This Row],[EB Units
(KVAH)]]+Table27[[#This Row],[OA Considered
IEX (Kwh)]]+Table27[[#This Row],[OA Unit-LTPPA
(KWh)]]),"")</f>
        <v>7.6980051916315357</v>
      </c>
    </row>
    <row r="8" spans="1:18" x14ac:dyDescent="0.35">
      <c r="A8" s="4">
        <v>45566</v>
      </c>
      <c r="B8" s="3" t="s">
        <v>53</v>
      </c>
      <c r="C8" s="3">
        <v>7000</v>
      </c>
      <c r="D8" s="3">
        <v>7042</v>
      </c>
      <c r="E8" s="3">
        <v>2962682</v>
      </c>
      <c r="F8" s="82">
        <v>317824.56</v>
      </c>
      <c r="G8" s="82">
        <v>25048637.420000002</v>
      </c>
      <c r="H8" s="3">
        <v>0</v>
      </c>
      <c r="I8" s="3">
        <v>0</v>
      </c>
      <c r="J8" s="3">
        <v>0</v>
      </c>
      <c r="K8" s="3">
        <v>968308</v>
      </c>
      <c r="L8" s="3">
        <v>5056285</v>
      </c>
      <c r="M8" s="3">
        <v>107389</v>
      </c>
      <c r="N8" s="3">
        <v>8156</v>
      </c>
      <c r="O8">
        <f>Table27[[#This Row],[EB Units
(KVAH)]]+Table27[[#This Row],[OA Considered
IEX (Kwh)]]+Table27[[#This Row],[OA Unit-LTPPA
(KWh)]]+Table27[[#This Row],[Solar-Rooftop
(KWh)]]+Table27[[#This Row],[DG Units
(Kwh)]]</f>
        <v>4046535</v>
      </c>
      <c r="P8" s="81">
        <f>Table27[[#This Row],[EB Value Total (Rs.)]]+Table27[[#This Row],[IEX-Value
(Rs.)]]+Table27[[#This Row],[LTPPA-Value
(Rs.)]]</f>
        <v>30104922.420000002</v>
      </c>
      <c r="Q8" s="5">
        <f>IFERROR(Table27[[#This Row],[Total Value]]/(Table27[[#This Row],[EB Units
(KVAH)]]+Table27[[#This Row],[OA Considered
IEX (Kwh)]]+Table27[[#This Row],[OA Unit-LTPPA
(KWh)]]),"")</f>
        <v>7.6583563987697758</v>
      </c>
    </row>
    <row r="9" spans="1:18" x14ac:dyDescent="0.35">
      <c r="A9" s="4">
        <v>45597</v>
      </c>
      <c r="B9" s="3" t="s">
        <v>53</v>
      </c>
      <c r="C9" s="3">
        <v>7500</v>
      </c>
      <c r="D9" s="3">
        <v>6534</v>
      </c>
      <c r="E9" s="3">
        <v>2494047</v>
      </c>
      <c r="F9" s="82">
        <v>354830.42</v>
      </c>
      <c r="G9" s="82">
        <v>21088968.990000002</v>
      </c>
      <c r="H9" s="3">
        <v>0</v>
      </c>
      <c r="I9" s="3">
        <v>0</v>
      </c>
      <c r="J9" s="3">
        <v>0</v>
      </c>
      <c r="K9" s="3">
        <v>917243</v>
      </c>
      <c r="L9" s="3">
        <v>4772874</v>
      </c>
      <c r="M9" s="3">
        <v>99298</v>
      </c>
      <c r="N9" s="3">
        <v>29001</v>
      </c>
      <c r="O9">
        <f>Table27[[#This Row],[EB Units
(KVAH)]]+Table27[[#This Row],[OA Considered
IEX (Kwh)]]+Table27[[#This Row],[OA Unit-LTPPA
(KWh)]]+Table27[[#This Row],[Solar-Rooftop
(KWh)]]+Table27[[#This Row],[DG Units
(Kwh)]]</f>
        <v>3539589</v>
      </c>
      <c r="P9" s="81">
        <f>Table27[[#This Row],[EB Value Total (Rs.)]]+Table27[[#This Row],[IEX-Value
(Rs.)]]+Table27[[#This Row],[LTPPA-Value
(Rs.)]]</f>
        <v>25861842.990000002</v>
      </c>
      <c r="Q9" s="5">
        <f>IFERROR(Table27[[#This Row],[Total Value]]/(Table27[[#This Row],[EB Units
(KVAH)]]+Table27[[#This Row],[OA Considered
IEX (Kwh)]]+Table27[[#This Row],[OA Unit-LTPPA
(KWh)]]),"")</f>
        <v>7.5812501986052201</v>
      </c>
    </row>
    <row r="10" spans="1:18" x14ac:dyDescent="0.35">
      <c r="A10" s="4">
        <v>45627</v>
      </c>
      <c r="B10" s="3" t="s">
        <v>53</v>
      </c>
      <c r="C10" s="3">
        <v>7500</v>
      </c>
      <c r="D10" s="3">
        <v>6147</v>
      </c>
      <c r="E10" s="3">
        <v>2761938</v>
      </c>
      <c r="F10" s="82">
        <v>354830.42</v>
      </c>
      <c r="G10" s="82">
        <v>22739238.399999999</v>
      </c>
      <c r="H10" s="3">
        <v>0</v>
      </c>
      <c r="I10" s="3">
        <v>0</v>
      </c>
      <c r="J10" s="3">
        <v>0</v>
      </c>
      <c r="K10" s="3">
        <v>794482</v>
      </c>
      <c r="L10" s="3">
        <v>4091551</v>
      </c>
      <c r="M10" s="3">
        <v>75033</v>
      </c>
      <c r="N10" s="3">
        <v>0</v>
      </c>
      <c r="O10">
        <f>Table27[[#This Row],[EB Units
(KVAH)]]+Table27[[#This Row],[OA Considered
IEX (Kwh)]]+Table27[[#This Row],[OA Unit-LTPPA
(KWh)]]+Table27[[#This Row],[Solar-Rooftop
(KWh)]]+Table27[[#This Row],[DG Units
(Kwh)]]</f>
        <v>3631453</v>
      </c>
      <c r="P10" s="81">
        <f>Table27[[#This Row],[EB Value Total (Rs.)]]+Table27[[#This Row],[IEX-Value
(Rs.)]]+Table27[[#This Row],[LTPPA-Value
(Rs.)]]</f>
        <v>26830789.399999999</v>
      </c>
      <c r="Q10" s="5">
        <f>IFERROR(Table27[[#This Row],[Total Value]]/(Table27[[#This Row],[EB Units
(KVAH)]]+Table27[[#This Row],[OA Considered
IEX (Kwh)]]+Table27[[#This Row],[OA Unit-LTPPA
(KWh)]]),"")</f>
        <v>7.5443253046603038</v>
      </c>
    </row>
    <row r="11" spans="1:18" x14ac:dyDescent="0.35">
      <c r="A11" s="4">
        <v>45658</v>
      </c>
      <c r="B11" s="3" t="s">
        <v>53</v>
      </c>
      <c r="C11" s="3">
        <v>7500</v>
      </c>
      <c r="D11" s="3">
        <v>5715</v>
      </c>
      <c r="E11" s="3">
        <v>2351188</v>
      </c>
      <c r="F11" s="82">
        <v>354830.42</v>
      </c>
      <c r="G11" s="82">
        <v>19790540.899999999</v>
      </c>
      <c r="H11" s="3">
        <v>0</v>
      </c>
      <c r="I11" s="3">
        <v>0</v>
      </c>
      <c r="J11" s="3">
        <v>0</v>
      </c>
      <c r="K11" s="3">
        <v>977412</v>
      </c>
      <c r="L11" s="3">
        <v>5069806</v>
      </c>
      <c r="M11" s="3">
        <v>92865</v>
      </c>
      <c r="N11" s="3">
        <v>10356</v>
      </c>
      <c r="O11">
        <f>Table27[[#This Row],[EB Units
(KVAH)]]+Table27[[#This Row],[OA Considered
IEX (Kwh)]]+Table27[[#This Row],[OA Unit-LTPPA
(KWh)]]+Table27[[#This Row],[Solar-Rooftop
(KWh)]]+Table27[[#This Row],[DG Units
(Kwh)]]</f>
        <v>3431821</v>
      </c>
      <c r="P11" s="81">
        <f>Table27[[#This Row],[EB Value Total (Rs.)]]+Table27[[#This Row],[IEX-Value
(Rs.)]]+Table27[[#This Row],[LTPPA-Value
(Rs.)]]</f>
        <v>24860346.899999999</v>
      </c>
      <c r="Q11" s="5">
        <f>IFERROR(Table27[[#This Row],[Total Value]]/(Table27[[#This Row],[EB Units
(KVAH)]]+Table27[[#This Row],[OA Considered
IEX (Kwh)]]+Table27[[#This Row],[OA Unit-LTPPA
(KWh)]]),"")</f>
        <v>7.4687096376855129</v>
      </c>
    </row>
    <row r="12" spans="1:18" x14ac:dyDescent="0.35">
      <c r="A12" s="4">
        <v>45689</v>
      </c>
      <c r="B12" s="3" t="s">
        <v>53</v>
      </c>
      <c r="C12" s="3">
        <v>7500</v>
      </c>
      <c r="D12" s="3">
        <v>6286.5</v>
      </c>
      <c r="E12" s="3">
        <v>1979457</v>
      </c>
      <c r="F12" s="82">
        <v>354830.42</v>
      </c>
      <c r="G12" s="82">
        <v>16966003.890000001</v>
      </c>
      <c r="H12" s="3">
        <v>0</v>
      </c>
      <c r="I12" s="3">
        <v>0</v>
      </c>
      <c r="J12" s="3">
        <v>0</v>
      </c>
      <c r="K12" s="3">
        <v>1198363</v>
      </c>
      <c r="L12" s="3">
        <v>6296084</v>
      </c>
      <c r="M12" s="3">
        <v>97801</v>
      </c>
      <c r="N12" s="3">
        <v>5201</v>
      </c>
      <c r="O12">
        <f>Table27[[#This Row],[EB Units
(KVAH)]]+Table27[[#This Row],[OA Considered
IEX (Kwh)]]+Table27[[#This Row],[OA Unit-LTPPA
(KWh)]]+Table27[[#This Row],[Solar-Rooftop
(KWh)]]+Table27[[#This Row],[DG Units
(Kwh)]]</f>
        <v>3280822</v>
      </c>
      <c r="P12" s="81">
        <f>Table27[[#This Row],[EB Value Total (Rs.)]]+Table27[[#This Row],[IEX-Value
(Rs.)]]+Table27[[#This Row],[LTPPA-Value
(Rs.)]]</f>
        <v>23262087.890000001</v>
      </c>
      <c r="Q12" s="5">
        <f>IFERROR(Table27[[#This Row],[Total Value]]/(Table27[[#This Row],[EB Units
(KVAH)]]+Table27[[#This Row],[OA Considered
IEX (Kwh)]]+Table27[[#This Row],[OA Unit-LTPPA
(KWh)]]),"")</f>
        <v>7.320140187298211</v>
      </c>
    </row>
    <row r="13" spans="1:18" x14ac:dyDescent="0.35">
      <c r="A13" s="4">
        <v>45717</v>
      </c>
      <c r="B13" s="3" t="s">
        <v>53</v>
      </c>
      <c r="C13" s="3">
        <v>7500</v>
      </c>
      <c r="D13" s="3">
        <v>6768</v>
      </c>
      <c r="E13" s="3">
        <v>2243808</v>
      </c>
      <c r="F13" s="82">
        <v>354830.42</v>
      </c>
      <c r="G13" s="82">
        <v>18934782.539999999</v>
      </c>
      <c r="H13" s="3">
        <v>0</v>
      </c>
      <c r="I13" s="3">
        <v>0</v>
      </c>
      <c r="J13" s="3">
        <v>0</v>
      </c>
      <c r="K13" s="3">
        <v>1330292</v>
      </c>
      <c r="L13" s="3">
        <v>7028290</v>
      </c>
      <c r="M13" s="3">
        <v>127312</v>
      </c>
      <c r="N13" s="3">
        <v>44800</v>
      </c>
      <c r="O13">
        <f>Table27[[#This Row],[EB Units
(KVAH)]]+Table27[[#This Row],[OA Considered
IEX (Kwh)]]+Table27[[#This Row],[OA Unit-LTPPA
(KWh)]]+Table27[[#This Row],[Solar-Rooftop
(KWh)]]+Table27[[#This Row],[DG Units
(Kwh)]]</f>
        <v>3746212</v>
      </c>
      <c r="P13" s="81">
        <f>Table27[[#This Row],[EB Value Total (Rs.)]]+Table27[[#This Row],[IEX-Value
(Rs.)]]+Table27[[#This Row],[LTPPA-Value
(Rs.)]]</f>
        <v>25963072.539999999</v>
      </c>
      <c r="Q13" s="5">
        <f>IFERROR(Table27[[#This Row],[Total Value]]/(Table27[[#This Row],[EB Units
(KVAH)]]+Table27[[#This Row],[OA Considered
IEX (Kwh)]]+Table27[[#This Row],[OA Unit-LTPPA
(KWh)]]),"")</f>
        <v>7.2642266696511006</v>
      </c>
    </row>
    <row r="14" spans="1:18" x14ac:dyDescent="0.35">
      <c r="A14" s="4">
        <v>45748</v>
      </c>
      <c r="B14" s="3" t="s">
        <v>53</v>
      </c>
      <c r="C14" s="3">
        <v>7500</v>
      </c>
      <c r="D14" s="3">
        <v>6804</v>
      </c>
      <c r="E14" s="3">
        <v>2540538</v>
      </c>
      <c r="F14" s="82">
        <v>370140.35</v>
      </c>
      <c r="G14" s="82">
        <v>21117347.879999999</v>
      </c>
      <c r="H14" s="3">
        <v>0</v>
      </c>
      <c r="I14" s="3">
        <v>0</v>
      </c>
      <c r="J14" s="3">
        <v>0</v>
      </c>
      <c r="K14" s="3">
        <v>1241502</v>
      </c>
      <c r="L14" s="3">
        <v>6520201</v>
      </c>
      <c r="M14" s="3">
        <v>133156</v>
      </c>
      <c r="N14" s="3">
        <v>12617.8</v>
      </c>
      <c r="O14">
        <f>Table27[[#This Row],[EB Units
(KVAH)]]+Table27[[#This Row],[OA Considered
IEX (Kwh)]]+Table27[[#This Row],[OA Unit-LTPPA
(KWh)]]+Table27[[#This Row],[Solar-Rooftop
(KWh)]]+Table27[[#This Row],[DG Units
(Kwh)]]</f>
        <v>3927813.8</v>
      </c>
      <c r="P14" s="81">
        <f>Table27[[#This Row],[EB Value Total (Rs.)]]+Table27[[#This Row],[IEX-Value
(Rs.)]]+Table27[[#This Row],[LTPPA-Value
(Rs.)]]</f>
        <v>27637548.879999999</v>
      </c>
      <c r="Q14" s="5">
        <f>IFERROR(Table27[[#This Row],[Total Value]]/(Table27[[#This Row],[EB Units
(KVAH)]]+Table27[[#This Row],[OA Considered
IEX (Kwh)]]+Table27[[#This Row],[OA Unit-LTPPA
(KWh)]]),"")</f>
        <v>7.307577095958794</v>
      </c>
      <c r="R14" s="3">
        <v>2737288</v>
      </c>
    </row>
    <row r="15" spans="1:18" x14ac:dyDescent="0.35">
      <c r="A15" s="4">
        <v>45778</v>
      </c>
      <c r="B15" s="3" t="s">
        <v>53</v>
      </c>
      <c r="C15" s="3">
        <v>7500</v>
      </c>
      <c r="D15" s="3">
        <v>6714</v>
      </c>
      <c r="E15" s="3">
        <v>2795187</v>
      </c>
      <c r="F15" s="82">
        <v>381356.74</v>
      </c>
      <c r="G15" s="3">
        <v>22983943</v>
      </c>
      <c r="H15" s="3">
        <v>0</v>
      </c>
      <c r="I15" s="3">
        <v>0</v>
      </c>
      <c r="J15" s="3">
        <v>0</v>
      </c>
      <c r="K15" s="3">
        <v>1168333</v>
      </c>
      <c r="L15" s="3">
        <v>6102891</v>
      </c>
      <c r="M15" s="3">
        <v>129599</v>
      </c>
      <c r="N15" s="3">
        <v>25744.200000000172</v>
      </c>
      <c r="O15">
        <f>Table27[[#This Row],[EB Units
(KVAH)]]+Table27[[#This Row],[OA Considered
IEX (Kwh)]]+Table27[[#This Row],[OA Unit-LTPPA
(KWh)]]+Table27[[#This Row],[Solar-Rooftop
(KWh)]]+Table27[[#This Row],[DG Units
(Kwh)]]</f>
        <v>4118863.2</v>
      </c>
      <c r="P15">
        <f>Table27[[#This Row],[EB Value Total (Rs.)]]+Table27[[#This Row],[IEX-Value
(Rs.)]]+Table27[[#This Row],[LTPPA-Value
(Rs.)]]</f>
        <v>29086834</v>
      </c>
      <c r="Q15" s="5">
        <f>IFERROR(Table27[[#This Row],[Total Value]]/(Table27[[#This Row],[EB Units
(KVAH)]]+Table27[[#This Row],[OA Considered
IEX (Kwh)]]+Table27[[#This Row],[OA Unit-LTPPA
(KWh)]]),"")</f>
        <v>7.3386368682383338</v>
      </c>
    </row>
    <row r="16" spans="1:18" x14ac:dyDescent="0.35">
      <c r="A16" s="4">
        <v>45809</v>
      </c>
      <c r="B16" s="3" t="s">
        <v>53</v>
      </c>
      <c r="C16" s="3">
        <v>7500</v>
      </c>
      <c r="D16" s="3">
        <v>6678</v>
      </c>
      <c r="E16" s="3">
        <v>2642342</v>
      </c>
      <c r="F16" s="82">
        <v>381356.74</v>
      </c>
      <c r="G16" s="3">
        <v>21731790</v>
      </c>
      <c r="H16" s="3">
        <v>0</v>
      </c>
      <c r="I16" s="3">
        <v>0</v>
      </c>
      <c r="J16" s="3">
        <v>0</v>
      </c>
      <c r="K16" s="3">
        <v>1102418</v>
      </c>
      <c r="L16" s="3">
        <v>5737063</v>
      </c>
      <c r="M16" s="3">
        <v>107469</v>
      </c>
      <c r="N16" s="3">
        <v>12456</v>
      </c>
      <c r="O16">
        <f>Table27[[#This Row],[EB Units
(KVAH)]]+Table27[[#This Row],[OA Considered
IEX (Kwh)]]+Table27[[#This Row],[OA Unit-LTPPA
(KWh)]]+Table27[[#This Row],[Solar-Rooftop
(KWh)]]+Table27[[#This Row],[DG Units
(Kwh)]]</f>
        <v>3864685</v>
      </c>
      <c r="P16">
        <f>Table27[[#This Row],[EB Value Total (Rs.)]]+Table27[[#This Row],[IEX-Value
(Rs.)]]+Table27[[#This Row],[LTPPA-Value
(Rs.)]]</f>
        <v>27468853</v>
      </c>
      <c r="Q16" s="5">
        <f>IFERROR(Table27[[#This Row],[Total Value]]/(Table27[[#This Row],[EB Units
(KVAH)]]+Table27[[#This Row],[OA Considered
IEX (Kwh)]]+Table27[[#This Row],[OA Unit-LTPPA
(KWh)]]),"")</f>
        <v>7.3352772941390105</v>
      </c>
    </row>
    <row r="17" spans="1:18" x14ac:dyDescent="0.35">
      <c r="A17" s="4">
        <v>45839</v>
      </c>
      <c r="B17" s="3" t="s">
        <v>53</v>
      </c>
      <c r="C17" s="3">
        <v>7500</v>
      </c>
      <c r="D17" s="3">
        <v>7042.5</v>
      </c>
      <c r="E17" s="3">
        <v>3068059</v>
      </c>
      <c r="F17" s="82">
        <v>381356.74</v>
      </c>
      <c r="G17" s="3">
        <v>25156266</v>
      </c>
      <c r="H17" s="3">
        <v>0</v>
      </c>
      <c r="I17" s="3">
        <v>0</v>
      </c>
      <c r="J17" s="3">
        <v>0</v>
      </c>
      <c r="K17" s="3">
        <v>1015691</v>
      </c>
      <c r="L17" s="3">
        <v>5255728</v>
      </c>
      <c r="M17" s="3">
        <v>97293</v>
      </c>
      <c r="N17" s="3">
        <v>1498</v>
      </c>
      <c r="O17">
        <f>Table27[[#This Row],[EB Units
(KVAH)]]+Table27[[#This Row],[OA Considered
IEX (Kwh)]]+Table27[[#This Row],[OA Unit-LTPPA
(KWh)]]+Table27[[#This Row],[Solar-Rooftop
(KWh)]]+Table27[[#This Row],[DG Units
(Kwh)]]</f>
        <v>4182541</v>
      </c>
      <c r="P17">
        <f>Table27[[#This Row],[EB Value Total (Rs.)]]+Table27[[#This Row],[IEX-Value
(Rs.)]]+Table27[[#This Row],[LTPPA-Value
(Rs.)]]</f>
        <v>30411994</v>
      </c>
      <c r="Q17" s="5">
        <f>IFERROR(Table27[[#This Row],[Total Value]]/(Table27[[#This Row],[EB Units
(KVAH)]]+Table27[[#This Row],[OA Considered
IEX (Kwh)]]+Table27[[#This Row],[OA Unit-LTPPA
(KWh)]]),"")</f>
        <v>7.4470753596571777</v>
      </c>
    </row>
    <row r="18" spans="1:18" x14ac:dyDescent="0.35">
      <c r="A18" s="4">
        <v>45870</v>
      </c>
      <c r="B18" s="3" t="s">
        <v>53</v>
      </c>
      <c r="C18" s="3">
        <v>7500</v>
      </c>
      <c r="D18" s="3">
        <v>7312.5</v>
      </c>
      <c r="E18" s="3">
        <v>2847746</v>
      </c>
      <c r="F18" s="82">
        <v>381356.74</v>
      </c>
      <c r="G18" s="3">
        <v>23588860</v>
      </c>
      <c r="H18" s="3">
        <v>0</v>
      </c>
      <c r="I18" s="3">
        <v>0</v>
      </c>
      <c r="J18" s="3">
        <v>0</v>
      </c>
      <c r="K18" s="3">
        <v>1098324</v>
      </c>
      <c r="L18" s="3">
        <v>5714341</v>
      </c>
      <c r="M18" s="3">
        <v>87823</v>
      </c>
      <c r="N18" s="3">
        <v>26260</v>
      </c>
      <c r="O18">
        <f>Table27[[#This Row],[EB Units
(KVAH)]]+Table27[[#This Row],[OA Considered
IEX (Kwh)]]+Table27[[#This Row],[OA Unit-LTPPA
(KWh)]]+Table27[[#This Row],[Solar-Rooftop
(KWh)]]+Table27[[#This Row],[DG Units
(Kwh)]]</f>
        <v>4060153</v>
      </c>
      <c r="P18">
        <f>Table27[[#This Row],[EB Value Total (Rs.)]]+Table27[[#This Row],[IEX-Value
(Rs.)]]+Table27[[#This Row],[LTPPA-Value
(Rs.)]]</f>
        <v>29303201</v>
      </c>
      <c r="Q18" s="5">
        <f>IFERROR(Table27[[#This Row],[Total Value]]/(Table27[[#This Row],[EB Units
(KVAH)]]+Table27[[#This Row],[OA Considered
IEX (Kwh)]]+Table27[[#This Row],[OA Unit-LTPPA
(KWh)]]),"")</f>
        <v>7.4259202193574874</v>
      </c>
    </row>
    <row r="19" spans="1:18" x14ac:dyDescent="0.35">
      <c r="A19" s="4">
        <v>45901</v>
      </c>
      <c r="B19" s="3" t="s">
        <v>53</v>
      </c>
      <c r="C19" s="3">
        <v>7500</v>
      </c>
      <c r="D19" s="3">
        <v>7236</v>
      </c>
      <c r="E19" s="3">
        <v>3101804</v>
      </c>
      <c r="F19" s="82">
        <v>381356.74</v>
      </c>
      <c r="G19" s="3">
        <v>25359913</v>
      </c>
      <c r="H19" s="3">
        <v>0</v>
      </c>
      <c r="I19" s="3">
        <v>0</v>
      </c>
      <c r="J19" s="3">
        <v>0</v>
      </c>
      <c r="K19" s="3">
        <v>1048437</v>
      </c>
      <c r="L19" s="3">
        <v>5437469</v>
      </c>
      <c r="M19" s="3">
        <v>100594</v>
      </c>
      <c r="N19" s="3">
        <v>0</v>
      </c>
      <c r="O19">
        <f>Table27[[#This Row],[EB Units
(KVAH)]]+Table27[[#This Row],[OA Considered
IEX (Kwh)]]+Table27[[#This Row],[OA Unit-LTPPA
(KWh)]]+Table27[[#This Row],[Solar-Rooftop
(KWh)]]+Table27[[#This Row],[DG Units
(Kwh)]]</f>
        <v>4250835</v>
      </c>
      <c r="P19">
        <f>Table27[[#This Row],[EB Value Total (Rs.)]]+Table27[[#This Row],[IEX-Value
(Rs.)]]+Table27[[#This Row],[LTPPA-Value
(Rs.)]]</f>
        <v>30797382</v>
      </c>
      <c r="Q19" s="5">
        <f>IFERROR(Table27[[#This Row],[Total Value]]/(Table27[[#This Row],[EB Units
(KVAH)]]+Table27[[#This Row],[OA Considered
IEX (Kwh)]]+Table27[[#This Row],[OA Unit-LTPPA
(KWh)]]),"")</f>
        <v>7.4206249709354228</v>
      </c>
    </row>
    <row r="20" spans="1:18" x14ac:dyDescent="0.35">
      <c r="A20" s="4">
        <v>45931</v>
      </c>
      <c r="B20" s="3" t="s">
        <v>53</v>
      </c>
      <c r="C20" s="3">
        <v>7500</v>
      </c>
      <c r="D20" s="3">
        <v>7002</v>
      </c>
      <c r="E20" s="3">
        <v>3079007</v>
      </c>
      <c r="F20" s="82">
        <v>381356.74</v>
      </c>
      <c r="G20" s="3">
        <v>25182241</v>
      </c>
      <c r="H20" s="3">
        <v>0</v>
      </c>
      <c r="I20" s="3">
        <v>0</v>
      </c>
      <c r="J20" s="3">
        <v>0</v>
      </c>
      <c r="K20" s="3">
        <v>1068903</v>
      </c>
      <c r="L20" s="3">
        <v>5551055</v>
      </c>
      <c r="M20" s="3">
        <v>103577</v>
      </c>
      <c r="N20" s="3">
        <v>0</v>
      </c>
      <c r="O20">
        <f>Table27[[#This Row],[EB Units
(KVAH)]]+Table27[[#This Row],[OA Considered
IEX (Kwh)]]+Table27[[#This Row],[OA Unit-LTPPA
(KWh)]]+Table27[[#This Row],[Solar-Rooftop
(KWh)]]+Table27[[#This Row],[DG Units
(Kwh)]]</f>
        <v>4251487</v>
      </c>
      <c r="P20">
        <f>Table27[[#This Row],[EB Value Total (Rs.)]]+Table27[[#This Row],[IEX-Value
(Rs.)]]+Table27[[#This Row],[LTPPA-Value
(Rs.)]]</f>
        <v>30733296</v>
      </c>
      <c r="Q20" s="5">
        <f>IFERROR(Table27[[#This Row],[Total Value]]/(Table27[[#This Row],[EB Units
(KVAH)]]+Table27[[#This Row],[OA Considered
IEX (Kwh)]]+Table27[[#This Row],[OA Unit-LTPPA
(KWh)]]),"")</f>
        <v>7.4093449472143806</v>
      </c>
    </row>
    <row r="21" spans="1:18" x14ac:dyDescent="0.35">
      <c r="A21" s="4">
        <v>45962</v>
      </c>
      <c r="B21" s="3" t="s">
        <v>53</v>
      </c>
      <c r="C21" s="3">
        <v>7500</v>
      </c>
      <c r="D21" s="3">
        <v>6538</v>
      </c>
      <c r="E21" s="3">
        <v>2292118</v>
      </c>
      <c r="F21" s="82">
        <v>381356.74</v>
      </c>
      <c r="G21" s="3">
        <v>19328687</v>
      </c>
      <c r="H21" s="3">
        <v>0</v>
      </c>
      <c r="I21" s="3">
        <v>0</v>
      </c>
      <c r="J21" s="3">
        <v>0</v>
      </c>
      <c r="K21" s="3">
        <v>1098802</v>
      </c>
      <c r="L21" s="3">
        <v>5716994</v>
      </c>
      <c r="M21" s="3">
        <v>100119</v>
      </c>
      <c r="N21" s="3">
        <v>128</v>
      </c>
      <c r="O21">
        <f>Table27[[#This Row],[EB Units
(KVAH)]]+Table27[[#This Row],[OA Considered
IEX (Kwh)]]+Table27[[#This Row],[OA Unit-LTPPA
(KWh)]]+Table27[[#This Row],[Solar-Rooftop
(KWh)]]+Table27[[#This Row],[DG Units
(Kwh)]]</f>
        <v>3491167</v>
      </c>
      <c r="P21">
        <f>Table27[[#This Row],[EB Value Total (Rs.)]]+Table27[[#This Row],[IEX-Value
(Rs.)]]+Table27[[#This Row],[LTPPA-Value
(Rs.)]]</f>
        <v>25045681</v>
      </c>
      <c r="Q21" s="5">
        <f>IFERROR(Table27[[#This Row],[Total Value]]/(Table27[[#This Row],[EB Units
(KVAH)]]+Table27[[#This Row],[OA Considered
IEX (Kwh)]]+Table27[[#This Row],[OA Unit-LTPPA
(KWh)]]),"")</f>
        <v>7.3861020018166164</v>
      </c>
    </row>
    <row r="22" spans="1:18" x14ac:dyDescent="0.35">
      <c r="A22" s="4">
        <v>45992</v>
      </c>
      <c r="B22" s="3" t="s">
        <v>53</v>
      </c>
      <c r="C22" s="3">
        <v>7500</v>
      </c>
      <c r="D22" s="3">
        <v>5345</v>
      </c>
      <c r="E22" s="3">
        <v>2088304</v>
      </c>
      <c r="F22" s="82">
        <v>381357</v>
      </c>
      <c r="G22" s="3">
        <v>19291649</v>
      </c>
      <c r="H22" s="3">
        <v>0</v>
      </c>
      <c r="I22" s="3">
        <v>0</v>
      </c>
      <c r="J22" s="3">
        <v>0</v>
      </c>
      <c r="K22" s="3">
        <v>960635</v>
      </c>
      <c r="L22" s="3">
        <v>4950168</v>
      </c>
      <c r="M22" s="3">
        <v>100119</v>
      </c>
      <c r="N22" s="3">
        <v>27020</v>
      </c>
      <c r="O22">
        <f>Table27[[#This Row],[EB Units
(KVAH)]]+Table27[[#This Row],[OA Considered
IEX (Kwh)]]+Table27[[#This Row],[OA Unit-LTPPA
(KWh)]]+Table27[[#This Row],[Solar-Rooftop
(KWh)]]+Table27[[#This Row],[DG Units
(Kwh)]]</f>
        <v>3176078</v>
      </c>
      <c r="P22">
        <f>Table27[[#This Row],[EB Value Total (Rs.)]]+Table27[[#This Row],[IEX-Value
(Rs.)]]+Table27[[#This Row],[LTPPA-Value
(Rs.)]]</f>
        <v>24241817</v>
      </c>
      <c r="Q22" s="5">
        <f>IFERROR(Table27[[#This Row],[Total Value]]/(Table27[[#This Row],[EB Units
(KVAH)]]+Table27[[#This Row],[OA Considered
IEX (Kwh)]]+Table27[[#This Row],[OA Unit-LTPPA
(KWh)]]),"")</f>
        <v>7.950902592672402</v>
      </c>
      <c r="R22" s="3" t="s">
        <v>54</v>
      </c>
    </row>
    <row r="23" spans="1:18" x14ac:dyDescent="0.35">
      <c r="A23" s="4">
        <v>46023</v>
      </c>
      <c r="B23" s="3" t="s">
        <v>53</v>
      </c>
      <c r="C23" s="3">
        <v>7500</v>
      </c>
      <c r="D23" s="3">
        <v>5355.04</v>
      </c>
      <c r="E23" s="3">
        <v>2090525</v>
      </c>
      <c r="F23" s="82">
        <v>381356.74</v>
      </c>
      <c r="G23" s="3">
        <v>19314753</v>
      </c>
      <c r="H23" s="3">
        <v>0</v>
      </c>
      <c r="I23" s="3">
        <v>0</v>
      </c>
      <c r="J23" s="3">
        <v>0</v>
      </c>
      <c r="K23" s="3">
        <v>822574</v>
      </c>
      <c r="L23" s="3">
        <v>4183929</v>
      </c>
      <c r="M23" s="3">
        <v>88784</v>
      </c>
      <c r="N23" s="3">
        <v>7683</v>
      </c>
      <c r="O23">
        <f>Table27[[#This Row],[EB Units
(KVAH)]]+Table27[[#This Row],[OA Considered
IEX (Kwh)]]+Table27[[#This Row],[OA Unit-LTPPA
(KWh)]]+Table27[[#This Row],[Solar-Rooftop
(KWh)]]+Table27[[#This Row],[DG Units
(Kwh)]]</f>
        <v>3009566</v>
      </c>
      <c r="P23">
        <f>Table27[[#This Row],[EB Value Total (Rs.)]]+Table27[[#This Row],[IEX-Value
(Rs.)]]+Table27[[#This Row],[LTPPA-Value
(Rs.)]]</f>
        <v>23498682</v>
      </c>
      <c r="Q23" s="5">
        <f>IFERROR(Table27[[#This Row],[Total Value]]/(Table27[[#This Row],[EB Units
(KVAH)]]+Table27[[#This Row],[OA Considered
IEX (Kwh)]]+Table27[[#This Row],[OA Unit-LTPPA
(KWh)]]),"")</f>
        <v>8.066557985156015</v>
      </c>
      <c r="R23" s="3" t="s">
        <v>55</v>
      </c>
    </row>
    <row r="24" spans="1:18" x14ac:dyDescent="0.35">
      <c r="A24" s="4">
        <v>46054</v>
      </c>
      <c r="B24" s="3" t="s">
        <v>53</v>
      </c>
      <c r="C24" s="3">
        <v>7500</v>
      </c>
      <c r="D24" s="3">
        <v>5807.28</v>
      </c>
      <c r="E24" s="3">
        <v>1894478</v>
      </c>
      <c r="F24" s="82">
        <v>381356.74</v>
      </c>
      <c r="G24" s="3">
        <v>17893182</v>
      </c>
      <c r="H24" s="3">
        <v>0</v>
      </c>
      <c r="I24" s="3">
        <v>0</v>
      </c>
      <c r="J24" s="3">
        <v>0</v>
      </c>
      <c r="K24" s="3">
        <v>1182321</v>
      </c>
      <c r="L24" s="3">
        <v>6180525</v>
      </c>
      <c r="M24" s="3">
        <v>119278</v>
      </c>
      <c r="N24" s="3">
        <v>544</v>
      </c>
      <c r="O24">
        <f>Table27[[#This Row],[EB Units
(KVAH)]]+Table27[[#This Row],[OA Considered
IEX (Kwh)]]+Table27[[#This Row],[OA Unit-LTPPA
(KWh)]]+Table27[[#This Row],[Solar-Rooftop
(KWh)]]+Table27[[#This Row],[DG Units
(Kwh)]]</f>
        <v>3196621</v>
      </c>
      <c r="P24">
        <f>Table27[[#This Row],[EB Value Total (Rs.)]]+Table27[[#This Row],[IEX-Value
(Rs.)]]+Table27[[#This Row],[LTPPA-Value
(Rs.)]]</f>
        <v>24073707</v>
      </c>
      <c r="Q24" s="5">
        <f>IFERROR(Table27[[#This Row],[Total Value]]/(Table27[[#This Row],[EB Units
(KVAH)]]+Table27[[#This Row],[OA Considered
IEX (Kwh)]]+Table27[[#This Row],[OA Unit-LTPPA
(KWh)]]),"")</f>
        <v>7.8242702886993918</v>
      </c>
    </row>
    <row r="25" spans="1:18" x14ac:dyDescent="0.35">
      <c r="A25" s="4">
        <v>46082</v>
      </c>
      <c r="B25" s="3" t="s">
        <v>53</v>
      </c>
      <c r="C25" s="3">
        <v>7500</v>
      </c>
      <c r="D25" s="3">
        <v>6193.4</v>
      </c>
      <c r="E25" s="3">
        <v>2247193</v>
      </c>
      <c r="F25" s="82">
        <v>381356.74</v>
      </c>
      <c r="G25" s="3">
        <v>20600808</v>
      </c>
      <c r="H25" s="3">
        <v>0</v>
      </c>
      <c r="I25" s="3">
        <v>0</v>
      </c>
      <c r="J25" s="3">
        <v>0</v>
      </c>
      <c r="K25" s="3">
        <v>1343607</v>
      </c>
      <c r="L25" s="3">
        <v>7075662</v>
      </c>
      <c r="M25" s="3">
        <v>125163</v>
      </c>
      <c r="N25" s="3">
        <v>45733</v>
      </c>
      <c r="O25">
        <f>Table27[[#This Row],[EB Units
(KVAH)]]+Table27[[#This Row],[OA Considered
IEX (Kwh)]]+Table27[[#This Row],[OA Unit-LTPPA
(KWh)]]+Table27[[#This Row],[Solar-Rooftop
(KWh)]]+Table27[[#This Row],[DG Units
(Kwh)]]</f>
        <v>3761696</v>
      </c>
      <c r="P25">
        <f>Table27[[#This Row],[EB Value Total (Rs.)]]+Table27[[#This Row],[IEX-Value
(Rs.)]]+Table27[[#This Row],[LTPPA-Value
(Rs.)]]</f>
        <v>27676470</v>
      </c>
      <c r="Q25" s="5">
        <f>IFERROR(Table27[[#This Row],[Total Value]]/(Table27[[#This Row],[EB Units
(KVAH)]]+Table27[[#This Row],[OA Considered
IEX (Kwh)]]+Table27[[#This Row],[OA Unit-LTPPA
(KWh)]]),"")</f>
        <v>7.7076055475103038</v>
      </c>
    </row>
    <row r="26" spans="1:18" x14ac:dyDescent="0.35">
      <c r="A26" s="4">
        <v>46113</v>
      </c>
      <c r="B26" s="3" t="s">
        <v>53</v>
      </c>
      <c r="C26" s="3">
        <v>7500</v>
      </c>
      <c r="D26" s="3">
        <v>6315.6</v>
      </c>
      <c r="E26" s="3">
        <v>2432570</v>
      </c>
      <c r="F26" s="82">
        <v>521930</v>
      </c>
      <c r="G26" s="3">
        <v>20126753</v>
      </c>
      <c r="H26" s="3">
        <v>0</v>
      </c>
      <c r="I26" s="3">
        <v>0</v>
      </c>
      <c r="J26" s="3">
        <v>0</v>
      </c>
      <c r="K26" s="3">
        <v>1190930</v>
      </c>
      <c r="L26" s="3">
        <v>6087732</v>
      </c>
      <c r="M26" s="3">
        <v>125163</v>
      </c>
      <c r="N26" s="3">
        <v>45733</v>
      </c>
      <c r="O26">
        <f>Table27[[#This Row],[EB Units
(KVAH)]]+Table27[[#This Row],[OA Considered
IEX (Kwh)]]+Table27[[#This Row],[OA Unit-LTPPA
(KWh)]]+Table27[[#This Row],[Solar-Rooftop
(KWh)]]+Table27[[#This Row],[DG Units
(Kwh)]]</f>
        <v>3794396</v>
      </c>
      <c r="P26">
        <f>Table27[[#This Row],[EB Value Total (Rs.)]]+Table27[[#This Row],[IEX-Value
(Rs.)]]+Table27[[#This Row],[LTPPA-Value
(Rs.)]]</f>
        <v>26214485</v>
      </c>
      <c r="Q26" s="5">
        <f>IFERROR(Table27[[#This Row],[Total Value]]/(Table27[[#This Row],[EB Units
(KVAH)]]+Table27[[#This Row],[OA Considered
IEX (Kwh)]]+Table27[[#This Row],[OA Unit-LTPPA
(KWh)]]),"")</f>
        <v>7.2345756864909614</v>
      </c>
    </row>
    <row r="27" spans="1:18" x14ac:dyDescent="0.35">
      <c r="A27" s="4">
        <v>46143</v>
      </c>
      <c r="B27" s="3" t="s">
        <v>53</v>
      </c>
      <c r="C27" s="3">
        <v>7500</v>
      </c>
      <c r="D27" s="3">
        <v>7245.65</v>
      </c>
      <c r="E27" s="3">
        <v>2821377</v>
      </c>
      <c r="F27" s="82">
        <v>521929.84</v>
      </c>
      <c r="G27" s="3">
        <v>25704623</v>
      </c>
      <c r="H27" s="3">
        <v>0</v>
      </c>
      <c r="I27" s="3">
        <v>0</v>
      </c>
      <c r="J27" s="3">
        <v>0</v>
      </c>
      <c r="K27" s="3">
        <v>1161822</v>
      </c>
      <c r="L27" s="3">
        <v>5926182</v>
      </c>
      <c r="M27" s="3">
        <v>135221</v>
      </c>
      <c r="N27" s="3">
        <v>22704</v>
      </c>
      <c r="O27">
        <f>Table27[[#This Row],[EB Units
(KVAH)]]+Table27[[#This Row],[OA Considered
IEX (Kwh)]]+Table27[[#This Row],[OA Unit-LTPPA
(KWh)]]+Table27[[#This Row],[Solar-Rooftop
(KWh)]]+Table27[[#This Row],[DG Units
(Kwh)]]</f>
        <v>4141124</v>
      </c>
      <c r="P27">
        <f>Table27[[#This Row],[EB Value Total (Rs.)]]+Table27[[#This Row],[IEX-Value
(Rs.)]]+Table27[[#This Row],[LTPPA-Value
(Rs.)]]</f>
        <v>31630805</v>
      </c>
      <c r="Q27" s="5">
        <f>IFERROR(Table27[[#This Row],[Total Value]]/(Table27[[#This Row],[EB Units
(KVAH)]]+Table27[[#This Row],[OA Considered
IEX (Kwh)]]+Table27[[#This Row],[OA Unit-LTPPA
(KWh)]]),"")</f>
        <v>7.9410556690740286</v>
      </c>
    </row>
    <row r="28" spans="1:18" x14ac:dyDescent="0.35">
      <c r="A28" s="4">
        <v>46174</v>
      </c>
      <c r="B28" s="3" t="s">
        <v>53</v>
      </c>
      <c r="C28" s="3">
        <v>7500</v>
      </c>
      <c r="D28" s="3">
        <v>6799.44</v>
      </c>
      <c r="E28" s="3">
        <v>2993726</v>
      </c>
      <c r="F28" s="82">
        <v>521929.84</v>
      </c>
      <c r="G28" s="3">
        <v>26758951</v>
      </c>
      <c r="H28" s="3">
        <v>0</v>
      </c>
      <c r="I28" s="3">
        <v>0</v>
      </c>
      <c r="J28" s="3">
        <v>0</v>
      </c>
      <c r="K28" s="3">
        <v>1085175</v>
      </c>
      <c r="L28" s="3">
        <v>5500791</v>
      </c>
      <c r="M28" s="3">
        <v>85597</v>
      </c>
      <c r="N28" s="3">
        <v>28457</v>
      </c>
      <c r="O28">
        <f>Table27[[#This Row],[EB Units
(KVAH)]]+Table27[[#This Row],[OA Considered
IEX (Kwh)]]+Table27[[#This Row],[OA Unit-LTPPA
(KWh)]]+Table27[[#This Row],[Solar-Rooftop
(KWh)]]+Table27[[#This Row],[DG Units
(Kwh)]]</f>
        <v>4192955</v>
      </c>
      <c r="P28">
        <f>Table27[[#This Row],[EB Value Total (Rs.)]]+Table27[[#This Row],[IEX-Value
(Rs.)]]+Table27[[#This Row],[LTPPA-Value
(Rs.)]]</f>
        <v>32259742</v>
      </c>
      <c r="Q28" s="5">
        <f>IFERROR(Table27[[#This Row],[Total Value]]/(Table27[[#This Row],[EB Units
(KVAH)]]+Table27[[#This Row],[OA Considered
IEX (Kwh)]]+Table27[[#This Row],[OA Unit-LTPPA
(KWh)]]),"")</f>
        <v>7.9089298808674195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U-XV</vt:lpstr>
      <vt:lpstr>HCL-iV</vt:lpstr>
      <vt:lpstr>Unit-VII</vt:lpstr>
      <vt:lpstr>Unit XII</vt:lpstr>
      <vt:lpstr>Unit-III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Ramachandraiah Chintham Reddy</dc:creator>
  <cp:lastModifiedBy>Satyanarayana Reddy Puchakayala</cp:lastModifiedBy>
  <cp:lastPrinted>2026-02-27T08:17:59Z</cp:lastPrinted>
  <dcterms:created xsi:type="dcterms:W3CDTF">2025-06-24T09:45:44Z</dcterms:created>
  <dcterms:modified xsi:type="dcterms:W3CDTF">2026-08-14T06:44:24Z</dcterms:modified>
</cp:coreProperties>
</file>